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Sheet1" sheetId="1" r:id="rId2"/>
    <sheet name="Screening Criteria" sheetId="2" r:id="rId3"/>
  </sheets>
  <definedNames/>
  <calcPr calcId="125725"/>
</workbook>
</file>

<file path=xl/calcChain.xml><?xml version="1.0" encoding="utf-8"?>
<calcChain xmlns="http://schemas.openxmlformats.org/spreadsheetml/2006/main">
  <c r="BW7" i="1" l="1"/>
</calcChain>
</file>

<file path=xl/sharedStrings.xml><?xml version="1.0" encoding="utf-8"?>
<sst xmlns="http://schemas.openxmlformats.org/spreadsheetml/2006/main" count="1528" uniqueCount="249">
  <si>
    <t>SP_ENTITY_NAME</t>
  </si>
  <si>
    <t>SP_ENTITY_ID</t>
  </si>
  <si>
    <t>SP_COMPANY_NAME</t>
  </si>
  <si>
    <t>SP_EXCHANGE</t>
  </si>
  <si>
    <t>SP_LONG_BUSINESS_DESCRIPTION</t>
  </si>
  <si>
    <t>IQ_INDUSTRY_CLASSIFICATION</t>
  </si>
  <si>
    <t>IQ_SECTOR</t>
  </si>
  <si>
    <t>IQ_INDUSTRY_GROUP</t>
  </si>
  <si>
    <t>IQ_INDUSTRY</t>
  </si>
  <si>
    <t>IQ_PRIMARY_INDUSTRY</t>
  </si>
  <si>
    <t>IQ_BUS_SEG_ABS</t>
  </si>
  <si>
    <t>IQ_BUS_SEG_ASSETS_ABS</t>
  </si>
  <si>
    <t>IQ_BUS_SEG_REV_ABS</t>
  </si>
  <si>
    <t>IQ_BUS_SEG_INTEREST_EXP_ABS</t>
  </si>
  <si>
    <t>IQ_BUS_SEG_OPER_INC_ABS</t>
  </si>
  <si>
    <t>IQ_BUS_SEG_GP_ABS</t>
  </si>
  <si>
    <t>IQ_BUS_SEG_CAPEX_ABS</t>
  </si>
  <si>
    <t>IQ_BUS_SEG_EBITDA_ABS</t>
  </si>
  <si>
    <t>IQ_BUS_SEG_DA_ABS</t>
  </si>
  <si>
    <t>IQ_BUS_SEG_EBT_ABS</t>
  </si>
  <si>
    <t>IQ_BUS_SEG_NI_ABS</t>
  </si>
  <si>
    <t>IQ_BUS_SEG_INC_TAX_ABS</t>
  </si>
  <si>
    <t>IQ_BUS_SEG_EARNINGS_OP_ABS</t>
  </si>
  <si>
    <t/>
  </si>
  <si>
    <t>FY0</t>
  </si>
  <si>
    <t>Alibaba Group Holding Limited (NYSE:BABA)</t>
  </si>
  <si>
    <t>Alibaba Group Holding Limited</t>
  </si>
  <si>
    <t>NYSE</t>
  </si>
  <si>
    <t xml:space="preserve">Alibaba Group Holding Limited, through its subsidiaries, provides technology infrastructure and marketing reach to help merchants, brands, retailers, and other businesses to engage with their users and customers in a more efficient way.
The company empowers enterprises with its full-stack AI capabilities and services to facilitate their AI transformation and support the growth of their businesses. AI technology will also enhance user value across the company’s e-commerce and other Internet platforms to transform its existing businesses.
In the year 2026, the company’s businesses comprise Alibaba China E-commerce Group, Alibaba International Digital Commerce Group, AI + Cloud businesses, and others. An ecosystem has developed around the company’s platforms and businesses that consists of consumers, merchants, brands, retailers, enterprises, third-party service providers, strategic alliance partners, and other businesses.
Alibaba China E-commerce Group (Alibaba)
E-commerce
The group is the largest retail commerce business in the world in terms of GMV in the twelve months ended March 31, 2026, according to Analysys. In the fiscal year 2026, a strategic combination of Taobao and Tmall Group, Taobao Instant Commerce (formerly known as Ele.me), and Fliggy was undertaken into Alibaba China E-commerce Group to transform various e-commerce platforms into a comprehensive consumption platform.
Leveraging product and supply chain capabilities, as well as fulfillment and delivery expertise, consumers can enjoy a one-stop consumption experience with a broad variety of quality products and services at attractive prices, as well as a wide selection of delivery options that satisfy their needs.
Quick Commerce
Taobao Instant Commerce, a local services and on-demand delivery platform in China, enables consumers to use the Taobao, Taobao Instant Commerce, and Alipay apps to order meals, groceries, pharmaceuticals, FMCG, electronics, flowers, and apparel online. In addition, Fengniao Logistics, the on-demand delivery network of Taobao Instant Commerce, provides last-mile logistics services for Tmall brands and Alibaba Health.
China Commerce Wholesale
1688.com, China’s integrated domestic wholesale marketplace in the twelve months ended March 31, 2026, by net revenue according to Analysys, connects wholesale buyers and sellers across a wide range of categories.
Alibaba International Digital Commerce Group
Alibaba International Digital Commerce Group (AIDC) operates various retail and wholesale platforms to empower brands, merchants, and SMEs to serve global buyers and consumers through a wide product selection and differentiated customer experiences.
International Commerce Retail
International commerce retail businesses, including AliExpress, Trendyol, and Lazada, empower brands and merchants with local market insights and critical commerce infrastructure. AliExpress, one of the international e-commerce platforms, enables global consumers to buy directly from manufacturers and distributors in China and around the world. Trendyol, a leading e-commerce platform in Türkiye in terms of GMV in 2025, serves consumers with a broad selection of products and services. Lazada, an e-commerce platform in Southeast Asia, serves one of the largest markets in the global e-commerce industry by providing consumers with access to a broad range of offerings from local SMEs, as well as regional and global brands.
International Commerce Wholesale
Alibaba.com operates as China’s integrated international online wholesale marketplace in the twelve months ended March 31, 2026, by revenue, according to Analysys. During the fiscal year 2026, buyers who sourced business opportunities or completed transactions on Alibaba.com were located across over 190 countries.
AI + Cloud Businesses
The group possesses full-stack AI capabilities. Chips and cloud computing form the infrastructure layer, while the AI model and application layer comprises foundation models, model-as-a-service (MaaS), and both enterprise and consumer applications.
Alibaba Group is the world’s fourth largest and Asia Pacific’s largest Infrastructure-as-a-service provider by revenue in 2025 in U.S. dollars, according to Gartner April 2026 report. Alibaba Group is also China’s largest provider of public cloud services by revenue in 2025, including PaaS and IaaS services, according to IDC. Leveraging full-stack cloud capabilities and proprietary products portfolio, Cloud Intelligence Group offers a suite of cloud services based on a three-tiered architecture of infrastructure-as-a-service (IaaS), platform-as-a-service (PaaS), and model-as-a-service (MaaS) to customers worldwide.
These product capabilities and technologies are used to provide customers across various verticals with industry-specific solutions, enabling intelligent business decisions and operations in the AI era. T-Head, the chip design subsidiary, has brought its proprietary GPU into production at scale, supporting end-to-end AI workloads from training and fine-tuning to inference.
The Qwen model family, an enterprise-grade large model suite, drives rapid AI adoption across key verticals and delivers measurable productivity gains through its full-stack, multimodal capabilities. Powered by the most advanced Qwen foundation model, Qwen app, the flagship consumer-facing AI application, transforms proprietary model leadership into scalable, real-world applications. Wukong, the AI-to-B AI agent platform, enables AI-powered upgrades to enterprise workflows.
Other Businesses
The group continues to innovate and develop new service and product offerings with the aim of addressing the evolving needs of customers, improving efficiency in their daily lives, and creating synergies among ecosystem participants. Other businesses include Freshippo, Cainiao, Alibaba Health, Hujing Digital Media and Entertainment Group, and Amap, among others.
Ecosystem
An ecosystem has developed around the group’s platforms and businesses, consisting of consumers, merchants, brands, retailers, enterprises, third-party service providers, strategic alliance partners, and other businesses. At the nexus of this ecosystem are the technology platform, marketplace rules, and the role played in connecting these participants to enable them to discover, engage, and transact with each other, as well as manage their businesses anytime and anywhere. The ecosystem has self-reinforcing network effects benefiting its various participants, who are invested in the growth and success of the ecosystem.
Alibaba China E-commerce Group (Alibaba)
E-Commerce
The group operates the largest retail commerce business in the world in terms of GMV in the twelve months ended March 31, 2026, according to Analysys. The aim is to build a comprehensive consumer platform integrating daily life services and e-commerce. Consumers can access various marketplaces, channels, features, services, and content within the ecosystem through the Taobao app. Empowered by commerce technologies and services, the group appeals to a large consumer base by providing diversified and comprehensive offerings at attractive prices, supported by quality services.
Consumers
The group serves a large and diversified consumer base in China, across both large cities and less-developed areas, and continues to grow its user base. The platforms appeal to consumers at various income levels and address all aspects of consumption needs. The group focuses on enhancing user experience on the platform, and has consolidated supply chains, user bases, and membership benefits across its businesses, as well as launched a tiered loyalty program that connects Taobao Instant Commerce, Fliggy, and Amap, enhancing user experiences across a full spectrum of consumption scenarios. Generally, the longer consumers have been with the group, the more orders they tend to place across a diverse range of product categories. 88VIP members, the highest spending consumer group, showed a similar level of retention rate in the fiscal year 2026 compared to that of fiscal year 2025.
Products And Services
The company’s ecosystem offers a comprehensive range of products and services among global commerce platforms to meet the diverse demands of its large and diversified consumer base across different segments. The company has developed a digital commerce infrastructure that provides an upgraded consumer experience by deepening collaboration across businesses within its ecosystem. Leveraging its product and supply chain capabilities, consumers can access a variety of quality products, such as branded products, imported goods, products sourced directly from manufacturers and farms, as well as idle goods. The company has developed logistics expertise and capabilities that enable it to offer a full range of high-frequency fulfillment services to satisfy consumer demand. Delivery options include on-demand delivery; half-day delivery; same-or-next-day delivery; and next-day pick-up services, which address the needs of consumers in both large cities and less-developed areas. Key businesses are as follows:
Taobao And Tmall: Taobao serves as the starting point and destination portal for many users’ shopping journeys and provides a primary traffic funnel that directs users to various marketplaces, channels, and features within the company’s ecosystem. The platform utilizes a balanced mix of brands and diversified supplies to build its merchandise assortment. Consumers from both large cities and less-developed areas use Taobao for an engaging and personalized shopping experience, optimized by the company’s data analytics and technology.
Tmall caters to consumers seeking high-quality products and a premium shopping experience. Branded goods meet quality-driven consumption needs, and many international and Chinese brands and retailers have established storefronts on the platform, with full control over their own branding and merchandising. Merchants, brands, and retailers can leverage significant traffic to extend and build brand awareness and customer engagement. The company enables brands to accurately identify and engage with target consumers.
Diversified supply connects value-seeking consumers with directly sourced value-for-money products, offering a variety of quality products, which empowers long-tail merchants and manufacturers, and enables SMEs to achieve sustainable growth on the platform.
Tmall Global: Tmall Global addresses the increasing demand of consumers in China for international products and brands. Tmall Global serves as a platform through which overseas brands and retailers reach consumers in China, build brand awareness, and gain valuable consumer insights to inform their overall China strategies, without the need for physical operations in China.
Tmall Supermarket: Tmall Supermarket offers daily necessities, FMCG, and general merchandise through the Taobao app with same-or-next-day delivery services. By leveraging technology capabilities and consumer insights, Tmall Supermarket facilitates the digital transformation of its offline partners, enhancing their supply chain management capabilities.
Xianyu: Xianyu is China’s largest consumer-to-consumer community and marketplace for idle goods, in terms of GMV for the twelve months ended March 31, 2026, according to Analysys. Through Xianyu, consumers can find a wide variety of second-hand goods; recycled goods; consignment; items for rent; and long-tail products offered by individual users and small businesses.
Consumer and Merchant Experience
User And Merchant Engagement
The large volume of user and merchant activities occurring daily on the company’s China commerce retail platforms generates significant consumer insights. By leveraging proprietary AI and data technologies, the company aggregates and builds upon deep consumer insights to provide more accurate search results and relevant recommendation feeds, enhancing the shopping experience for consumers. The company’s various commerce platforms enable merchants to engage with consumers through multiple formats, including livestreaming, short-form videos, interactive games, and microblogs. The company continues to introduce interactive features to facilitate user engagement with brands, merchants, and content creators. These features and formats, along with relevant and engaging entertainment content, play an important role in the product discovery process and shopping journey, driving user stickiness and retention across its platforms.
Merchant Services And Platform Efficiency
On the merchant side, the company focuses on improving the operating environment and helping merchants enhance efficiency. Merchants, brands, and retailers use Taobao and Tmall not only for their broad user base, but also for consumer insights and technology. Taobao and Tmall have driven the digitalization and transformation of merchants, brands, and retailers by enabling them to digitalize operations, engage, acquire, and retain consumers, increase brand recognition, innovate product offerings, manage supply chains, and enhance operating efficiency. Taobao and Tmall offer a variety of one-stop brand marketing and promotional products to help merchants, brands, and retailers quickly acquire new users, launch new products, and improve conversions. Merchants, brands, and retailers can easily create storefronts and listings on Taobao and Tmall.
Marketing Services
The company provides merchants with diversified marketing services to enhance business performance. Taobao and Tmall merchants can purchase P4P, in-feed marketing, display marketing, and software services to direct traffic to their storefronts. Additionally, merchants can acquire extra traffic from third-party marketing affiliates to further expand their reach. The company continues to see increasing penetration of Quanzhantui due to its convenience and improvement of marketing efficiency. User-friendly promotion mechanisms and increased support are provided for merchants offering high-quality products and consumer services.
Branding And Monetization Platforms: Alimama
Alimama is the company’s monetization platform. Using proprietary technology, this platform matches the marketing demands of merchants, brands, and retailers across the ecosystem with media resources on the company’s platforms and third-party properties. The platform supports P4P marketing and software services based on keyword search rankings, in-feed marketing targeting different consumer groups, display marketing at fixed positions bid on through auctions, CPM-based, time-based marketing formats, or individual campaigns at fixed cost, through the display of photos, graphics, videos, and livestreaming.
The ranking of P4P search results on the company’s marketplaces is based on proprietary algorithms considering the bid price of keywords, the popularity and quality of an item, service, or merchant, as well as customer feedback rankings. In-feed and display marketing and software services also take these factors into account, along with other consumer insights generated across the ecosystem, to deliver an engaging and relevant content discovery process and shopping experience through livestreaming, short-form videos, interactive games, and other formats. The relevance and comprehensiveness of insights based on commercial and user activity in the ecosystem, as well as AI capabilities such as Quanzhantui, provide a unique advantage for Alimama in delivering relevant information to users through highly engaging content and effective formats, enabling merchants to improve efficiency and ensure sustainable development on the platform.
Alimama also operates an affiliate marketing program that places marketing displays on third-party apps and websites, allowing marketers to extend their reach beyond the company’s platforms. The affiliate marketing program provides additional traffic to the marketplaces and generates revenue.
Alimama operates Taobao Ad Network and Exchange (TANX), one of the largest real-time online bidding marketing exchanges in China. TANX helps publishers monetize their media inventories on mobile apps and web properties, automating the buying and selling of tens of billions of marketing impressions daily.
Quick Commerce
Taobao Instant Commerce
Taobao Instant Commerce, formerly known as Ele.me, is a local services and on-demand delivery platform in China that enables consumers to use the Taobao, Taobao Instant Commerce, and Alipay apps to order meals, groceries, pharmaceuticals, FMCG, electronics, flowers, and apparel online. Fengniao Logistics, the on-demand delivery network of Taobao Instant Commerce, provides last-mile logistics services for Tmall brands and Alibaba Health.
In the fiscal year 2026, the company rebranded Ele.me as Taobao Instant Commerce to align it more closely with the Taobao app and strengthen its branding. To unlock synergies with its e-commerce business, the company expanded product offerings for non-food categories and accelerated the onboarding of offline stores, with nearly 5,000 Tmall brands available on the Taobao Instant Commerce channel as of March 31, 2026.
China Commerce Wholesale
1688.com
1688.com, China’s largest integrated domestic wholesale marketplace by net revenue for the twelve months ended March 31, 2026, according to Analysys, provides sourcing and online transaction services by connecting manufacturers and wholesale sellers to wholesale buyers in China. These parties trade a diverse range of products. Sellers may purchase a China TrustPass membership for an annual subscription fee to list items on 1688.com, reach customers, provide quotations, and transact on the marketplace without additional charges. Paying members may also pay for premium memberships and value-added services, such as premium data analytics, upgraded storefront management tools, and customer management services, including P4P marketing and software services from the website and app. In the fiscal year 2026, value-added services and customer management services contributed the majority of 1688.com’s total revenue.
During the fiscal year 2026, 1688.com continued to utilize a series of AI tools to enhance the daily operations of buyers and sellers. Buyers can source products more efficiently through smart search, price comparison, and product review analyses. Sellers can streamline store management and product listing processes using features such as AI digital assistant and intelligent product highlights generation.
Alibaba International Digital Commerce Group
Alibaba International Digital Commerce Group operates various retail and wholesale platforms, including AliExpress, Trendyol, Lazada, and Alibaba.com. While maintaining a strategic emphasis on key regions, the company narrowed its loss significantly year-over-year, driven by enhanced operating and investment efficiency.
International Commerce Retail
In fiscal year 2026, the company’s international commerce retail businesses achieved 9% revenue growth, primarily driven by strong performance in cross-border operations and supported by technological innovation, business model enhancement, supply chain upgrades, and enhanced consumer experience.
AliExpress
AliExpress is a global e-commerce platform targeting consumers worldwide and enabling them to buy directly from manufacturers and distributors in China and other countries. Consumers can access the marketplace through the AliExpress mobile app or websites. As of March 31, 2026, AliExpress covered over 200 countries and regions globally.
AliExpress continues to expand its regional merchant networks and supply chains to diversify and enrich its product offerings in different markets. AliExpress Choice provides an enhanced experience to consumers by combining better product selection, price, and quality with speed of logistics and customer support. The unit economics of the AliExpress Choice business continued to improve substantially. In fiscal year 2026, AliExpress introduced the AliExpressDirect model, which leverages inventories in over 30 countries, and launched the Brand+ program that provides go-to-market solutions to brands expanding overseas.
Trendyol
Trendyol is an e-commerce platform in Türkiye that serves consumers with a broad selection of products and services. Consumers also benefit from quality and convenient delivery services provided by Trendyol’s fulfillment and logistics networks. Beyond Türkiye, Trendyol has expanded to other emerging markets by leveraging its abundant product supply and fast, reliable logistics capability.
Lazada
Lazada is an e-commerce platform in Southeast Asia that serves one of the largest markets in the global e-commerce industry by providing consumers access to a broad range of offerings from local SMEs, regional, and global brands. Lazada operates a logistics network in Southeast Asia, serving its consumers and merchants with reliable, quality, and convenient logistics services that are critical to the online shopping experience in Southeast Asia.
International Commerce Wholesale
Alibaba.com is China’s largest integrated international online wholesale marketplace in terms of revenue for the twelve months ended March 31, 2026, according to Analysys. It connects Chinese and overseas suppliers to overseas wholesale buyers, who are typically trade agents, wholesalers, retailers, manufacturers, and SMEs engaged in the import and export business, and provides them with sourcing, online transaction, digital marketing, digital supply chain fulfillment, and financial services.
Sellers on Alibaba.com may purchase an annual membership to reach customers, provide quotations, and transact on the marketplace. As of March 31, 2026, Alibaba.com had over 240,000 paying members from China and around the world. Sellers may also purchase additional value-added services to manage product listings and facilitate transaction processes, such as upgraded storefront management tools, customer relationship management SaaS services, trade assurance and logistics fulfillment services, as well as customer management services, including P4P marketing and software services from the website and app. In fiscal year 2026, value-added services and customer management services together contributed the majority of Alibaba.com’s total revenue. Additionally, during the same period, over 47 million buyers from over 190 countries sourced business opportunities or completed transactions on Alibaba.com.
During fiscal year 2026, Alibaba.com experienced broader adoption by merchants of its AI-powered tools for marketing, procurement, and product listing, which provided multiple ways for the platform to monetize. In fiscal year 2026, the company released Accio, an AI-enabled business-to-business procurement engine, and Accio Work, an agentic business platform designed to handle the full operating lifecycle of global small and medium-sized businesses beyond sourcing alone, aiming to lower the entry barrier for cross-border commerce and enhance operational efficiency.
AI + Cloud Businesses
The company possesses full-stack AI capabilities. Chips and cloud computing form the infrastructure layer, while the AI model and application layer comprises foundation models, MaaS, and both enterprise and consumer applications.
Cloud Intelligence Group
Cloud Intelligence Group is the world’s fourth largest and Asia Pacific’s largest infrastructure-as-a-service provider by revenue in 2025 in U.S. dollars, according to the Gartner April 2026 report. The company is also China’s largest provider of public cloud services by revenue in 2025, including PaaS and IaaS services, according to IDC. In 2025, the revenue of China’s public cloud service market, including IaaS, PaaS, and SaaS markets, accounted for 0.2% of China’s GDP, which is significantly lower than that of the U.S. and indicates significant room for growth. The industry has experienced substantial growth in recent years with increasing adoption of both infrastructure services and value-added services by enterprises.
The technologies that power Cloud Intelligence Group originally evolved from the scale and complexity of the company’s China commerce businesses, which encompass commerce, payments, and logistics. Leveraging full-stack cloud capabilities and a proprietary products portfolio, Cloud Intelligence Group offers a comprehensive suite of cloud services based on a three-tiered architecture of infrastructure-as-a-service, platform-as-a-service, and model-as-a-service to customers worldwide. These services enable customers to build flexible, scalable, affordable, and secure technology infrastructure, and equip them with data capabilities that efficiently handle complex management, analytics, and machine learning tasks, thereby generating business insights and enabling intelligent decisions and operations. These capabilities and technologies support the company’s ecosystem and provide customers across various verticals with industry-specific solutions, including those for commerce, financial services, and industrial applications. As part of its globalization strategy, Cloud Intelligence Group continued to expand its international cloud computing infrastructure to better serve customers’ needs in overseas markets. As of March 31, 2026, Cloud Intelligence Group offered computing services in 34 regions globally.
Cloud Intelligence Group has built a comprehensive MaaS ecosystem centered around its AI + Cloud businesses, establishing China’s first and a globally leading full-stack agentic service capability. According to Frost &amp; Sullivan, Qwen ranked first with a 32% market share in enterprise-level large model invocation in China in the second half of 2025. According to Omdia, Alibaba Cloud ranked first, capturing 35.8% market share in China’s AI cloud market.
The company’s self-developed AI platform, Platform for AI (PAI), and Lingjun Intelligent Computing Service utilize advanced software-hardware integrated optimization technology to achieve high performance and large-scale cluster scalability, enabling stability in large model training and near-linear acceleration. PAI provides a serverless service mode that offers end-to-end support for the fine-tuning, evaluation, and deployment of major open-source large models, as well as comprehensive inference optimization solutions.
Cloud Intelligence Group’s advantages lie in proprietary technology and continued investment in research and development of new product offerings and industry-specific solutions for customers and partners. Cloud Intelligence Group continues to attract reputable customers with the potential to adopt cloud services at scale. In fiscal year 2026, Cloud Intelligence Group served approximately 67% of A-share listed companies in China. As AI transformation accelerates, customers, especially those from traditional verticals, have increased their usage of the company’s cloud services. The company’s cloud services have become a critical foundation that many customers increasingly depend on in their daily operations.
T-Head
T-Head, the company’s chip design subsidiary, has brought its proprietary GPU into production at scale, supporting end-to-end AI workloads from training and fine-tuning to inference. Compatible with mainstream AI frameworks, T-Head enhances the company’s long-term computing supply capacity. By combining its capabilities with Qwen models and cloud computing, it delivers cost-effective AI services to external customers. This business has scaled rapidly and now contributes meaningfully to the company’s cloud infrastructure supply.
Qwen Model Family
The Qwen model family, the company’s enterprise-grade large model suite, continues to drive rapid AI adoption across key verticals, including intelligent manufacturing, financial services, consumer retail, and cloud-native development, delivering measurable productivity gains through its full-stack, multimodal capabilities. Underpinned by advanced AI foundation models, extensive real-world deployment, and clear technological leadership, Qwen models are scaling rapidly in both technology innovation and adoption. Qwen models have demonstrated leading capabilities in multimodal AI with strong performance across reasoning, coding, agentic tasks, and multimodal understanding, while delivering higher inference efficiency and broader global accessibility.
Qwen App
Powered by the company’s most advanced Qwen foundation model, Qwen app is a flagship consumer-facing AI application that transforms proprietary model leadership into scalable, real-world applications. Under the new era of task-oriented execution in the AI industry, Qwen app is deeply integrated with core services across the company’s ecosystem, including Taobao and Tmall, Taobao Instant Commerce, Amap, Fliggy, and Alipay. Qwen app intelligently coordinates services across multiple platforms as an AI assistant capable of executing large-scale, real-world complex tasks. This ecosystem-wide integration further expands user reach, strengthens engagement across Alibaba’s platforms, and reinforces the company’s leadership in applied AI. Since its launch, Qwen app has seen significant growth in user engagement. In March 2026, the consumer-facing Qwen app surpassed 295 million monthly active users across all platforms.
Wukong
Wukong is the company’s AI-native enterprise-grade AI-to-B agent platform. Wukong enables AI-powered upgrades to enterprise workflows while remaining compatible with each organization’s data permissions and management processes. It serves as the unified interface for the company’s AI capabilities in enterprise work environments. B2B commercial capabilities across the company’s ecosystem will be progressively integrated via technical formats, such as Wukong Skills, to support Wukong in becoming the AI work assistant. DingTalk provides the enterprise operating system foundation, including users, permissions, and ecosystem for Wukong.
Wukong redefines DingTalk into an AI-native enterprise platform in the AI Agent era. In March 2026, DingTalk was integrated as Wukong into the AI + Cloud framework, with Wukong positioned as the core token consumption platform and value amplifier for MaaS. In March 2026, DingTalk’s paying active daily users surpassed 36 million. According to QuestMobile, DingTalk is the largest business efficiency mobile app in China by monthly active users in March 2026.
Other Businesses
The company’s other businesses include Freshippo, Cainiao, Alibaba Health, Hujing Digital Media and Entertainment Group, Amap, among others.
Strategies
The company continues to strive to strengthen its leadership and build core capabilities in two strategic areas: consumption and ‘AI + Cloud.’
Freshippo is a new retail platform for groceries and fresh goods that integrates advanced technology and AI to redefine a healthy and convenient retail experience. The company leverages its product innovation and research and development capabilities, robust supply chain management, and multi-layer and multi-temperature logistics and fulfillment infrastructure to optimize its product matrix and build private label offerings, delivering high-quality and healthy selections for consumers. By embedding AI capabilities across the entire retail value chain, Freshippo is establishing a new consumption paradigm through the seamless integration of online and offline retail experiences and continues to drive operating efficiency through technology.
In the year ended March 31, 2026, Freshippo focused on selected retail formats and expanded its footprint to additional emerging cities and counties, which continues to strengthen the brand’s reputation among consumers. The company also strengthened its integration with Taobao Instant Commerce by providing high-quality product offerings. Freshippo’s overall gross merchandise value (GMV) exceeded RMB 107 billion in the year ended March 31, 2026. Freshippo Supermarket, one of the company’s core retail formats, operates over 490 stores, with online transactions contributing more than 60% of Freshippo Supermarket’s GMV in the same period. Freshippo achieved positive full-year adjusted EBITA for the second consecutive year, attributable to the scalability and sustainability of the business.
Alibaba Health (Alibaba Health) integrates AI technology with pharmaceutical and healthcare service capabilities across the entire value chain. The </t>
  </si>
  <si>
    <t>Consumer Discretionary; Consumer Discretionary Distribution and Retail; Broadline Retail; Broadline Retail</t>
  </si>
  <si>
    <t>Consumer Discretionary</t>
  </si>
  <si>
    <t>Consumer Discretionary Distribution and Retail</t>
  </si>
  <si>
    <t>Broadline Retail</t>
  </si>
  <si>
    <t>All Others</t>
  </si>
  <si>
    <t>Unallocated</t>
  </si>
  <si>
    <t>Inter-Segment Elimination</t>
  </si>
  <si>
    <t>Unallocated Non-Cash Share-Based Compensation Expense</t>
  </si>
  <si>
    <t>Alibaba China E-commerce Group</t>
  </si>
  <si>
    <t>NA</t>
  </si>
  <si>
    <t>Bank of China Limited (SEHK:3988)</t>
  </si>
  <si>
    <t>Bank of China Limited</t>
  </si>
  <si>
    <t>SEHK</t>
  </si>
  <si>
    <t>Bank of China Limited provides a broad spectrum of services that include commercial banking, investment banking, direct investment, securities trading, insurance, fund management, and aircraft leasing in the People’s Republic of China.
Business Segments
The company operates through several key business segments, primarily categorized into Corporate Banking, Personal Banking, and Treasury and Financial Market Operations. 
Corporate Banking
The corporate banking provides a wide array of financial services tailored to meet the complex needs of corporate clients. This segment includes credit facilities, trade financing, investment banking services, and cash management solutions. With a focus on large corporations and small and medium-sized enterprises, the Corporate Banking segment aims to foster strategic partnerships, boost investment opportunities, and facilitate sustainable business growth for its clients.
Personal Banking
The personal banking is dedicated to serving individual customers with a variety of services including savings and checking accounts, personal loans, credit cards, mortgages, and wealth management solutions. The company strives to offer personalized services that cater to the unique financial needs of individuals, making banking more accessible and efficient.
Treasury and Financial Market Operations segment
The treasury and financial market operations segment is responsible for managing the company's liquidity, funding, and risk associated with its balance sheet. It engages in trading activities, foreign exchange transactions, and management of financial assets and liabilities. This segment plays a crucial role in ensuring the financial stability of the company, as well as offering investment products and services to external clients.
Business Strategy
The company emphasizes a multifaceted business strategy centered on innovation, customer satisfaction, and sustainable growth. The company aims to leverage technological advancements to enhance its service offerings and streamline operations. By investing in digital banking infrastructure and adopting cutting-edge technologies, the company seeks to provide a seamless customer experience and stay competitive in a rapidly evolving financial landscape.
The company's strategy includes a strong focus on research and development to innovate products that meet changing customer dynamics. The company is committed to expanding its reach in both domestic and international markets, particularly in developing regions where there is strong growth potential. To achieve this, the company actively explores partnership opportunities and strategic alliances with local firms, enhancing its ability to penetrate new markets and sectors.
Products and Services
The company offers a comprehensive range of products and services designed to cater to various customer segments and meet diverse financial needs. The primary offerings include:
Commercial Banking Services: This encompasses lending, deposit accounts, and treasury services tailored for corporate clients.
Personal Banking Services: The company provides various account types, consumer loans, mortgages, and investment products aimed at individual customers.
Investment Banking Services: These services include underwriting, financial advisory, and capital market operations that facilitate corporate financing and mergers and acquisitions.
Insurance and Fund Management: The company offers insurance products and manages investment funds that cater to both corporate and individual clients.
International Trade Services: The company provides trade financing, aforementioned letters of credit, and foreign exchange services that support cross-border commerce.
Treasury Services: Treasury management services focus on liquidity management, currency trading, and interest rate risk management.
Geographical Markets Served
The company serves a vast geographical footprint that spans across Asia, Europe, North America, and other regions. The company operates an extensive network of branches and subsidiaries, allowing it to engage with clients worldwide. 
Seasonality
The company experiences certain seasonality in its operations primarily influenced by economic cycles, financial market dynamics, and customer demand fluctuations throughout the year. These variations can affect the volume of lending, deposit mobilization, and investment activities.
Customers
The company caters to a diverse clientele that includes individual consumers, small and medium-sized enterprises (SMEs), and large multinational corporations. Its customer base spans various categories, ranging from personal banking clients seeking savings and investment solutions to corporate clients requiring comprehensive financial services.
Sales and Marketing
The company employs a diverse array of marketing and distribution channels to reach its customers effectively. The company utilizes traditional marketing methods, such as print advertisements and promotional events, alongside modern digital marketing techniques, which include social media campaigns, online advertising, and targeted email marketing. 
Additionally, the bank operates through a network of physical branches and digital platforms, enabling customers to interact with various service offerings conveniently. The integration of digital banking solutions facilitates an efficient customer journey, from account opening to loan application processes, and enhances overall customer satisfaction.
History
Bank of China Limited was founded in 1912.</t>
  </si>
  <si>
    <t>Financials; Banks; Banks; Diversified Banks; Diversified Commercial Banks</t>
  </si>
  <si>
    <t>Financials</t>
  </si>
  <si>
    <t>Banks</t>
  </si>
  <si>
    <t>Diversified Banks</t>
  </si>
  <si>
    <t>Corporate Banking</t>
  </si>
  <si>
    <t>Personal Banking</t>
  </si>
  <si>
    <t>Treasury Operations</t>
  </si>
  <si>
    <t>Investment Banking</t>
  </si>
  <si>
    <t>Insurance</t>
  </si>
  <si>
    <t>BHP Group Limited (ASX:BHP)</t>
  </si>
  <si>
    <t>BHP Group Limited</t>
  </si>
  <si>
    <t>ASX</t>
  </si>
  <si>
    <t>BHP Group Limited (BHP) produces commodities essential to global development and modern life.
The company’s assets are large, long-life, and low cost, with options to grow. They are part of a portfolio that is deliberately diversified to give the company resilience through cycles, and exposure to long-term growth.
The company has significant opportunity to further lift performance in its assets, and a clear pathway for growth, while maintaining its long-standing commitment to operational excellence and financial discipline.
The company’s scale, diversified portfolio of world-class Tier 1 assets in attractive and durable commodities, and exciting copper and potash growth pipeline are compelling.
Operational excellence
The company’s global workforce achieves great results, time and again. The company continues to focus on talent development. BOS guides how the company works, making improvement central to everyone’s role, enabling its workforce to make the company better every day.
BOS gives the company a competitive edge by making continuous improvement part of how it works every day. Through its tools and practices, BOS strengthens the company’s culture, and supports ambitious targets. It helps create better planned, more stable work. Ultimately, BOS shapes how the company works together, and how it delivers.
The company’s Capital Allocation Framework (CAF) underpins disciplined capital management by ensuring potential uses of capital compete to maximise value and returns.
This combination delivers stable, predictable performance, supporting industry-leading margins, high returns, and effective use of the company’s balance sheet, and supports more stable and consistent returns for its shareholders.
Leveraging BOS and technology to drive productivity
Continuous improvement of the company’s technology foundations, and digital capabilities is key to its strategy. This includes strengthening the reliability, resilience, and security of the company’s systems, alongside expanding the use of technologies, such as AI, automation, and advanced analytics, where they can help the company’s teams address practical challenges and opportunities, and work more safely. The company is supporting its workforce to understand, and use these tools effectively in their work, helping it make better decisions, improve reliability, and deliver more consistent outcomes, while unlocking value across its operations.
Business Model
Exploration and acquisition
The company seeks to add high-quality resources through its exploration activities, and early-stage entry, and acquisition options.
Development and mining
The company strives to achieve industry-leading performance in safety, operational excellence, project management, and allocation of capital.
Process and logistics
The company processes and refines ore, and seeks to safely manage waste.
Sales, marketing, and procurement
The company maximises value through its centralised marketing, and procurement organisations, commercial expertise, understanding of markets, and customer, and supplier relationships.
Closure and rehabilitation
The company considers closure, and rehabilitation throughout the asset lifecycle to help minimise its impact, and optimise post-closure value for all stakeholders, and partners.
Segments
The company operates through three segments: Copper, Iron Ore, and Coal.
Copper
This segment engages in the mining of copper, uranium, gold, zinc, molybdenum, and silver.
Iron Ore
This segment engages in the mining of iron ore.
Coal
This segment engages in the mining of steelmaking coal, and energy coal.
Assets
Copper
Escondida
Escondida, with the company’s ownership at 57.5 per cent, is located in the Atacama Desert in northern Chile. Escondida is a leading producer of copper concentrate, and cathodes, with by-products, including gold, and silver. Escondida’s two open-cut pits feed three concentrator plants, and two leaching operations.
Pampa Norte
Pampa Norte, with the company’s ownership at 100 per cent, comprises two open-cut mines in the Atacama Desert in northern Chile – Spence, and Cerro Colorado. Spence produces copper cathodes, and copper concentrate, with by-products, including gold, silver, and molybdenum. Cerro Colorado produced copper cathodes until it entered temporary care, and maintenance in December 2023.
Copper South Australia
Copper South Australia, with the company’s ownership at 100 per cent, located in South Australia’s Gawler Craton region, comprises the Olympic Dam, Carrapateena, and Prominent Hill underground mining, and surface operations, and the Oak Dam exploration project.
Olympic Dam has integrated crushing, grinding, concentrating, smelting, and refining operations, and produces copper cathode, gold, and silver bullion, and uranium oxide concentrate.
Carrapateena, and Prominent Hill use underground mining, and surface grinding, and concentrating methods to produce copper concentrate, with gold, and silver by-products. Oak Dam is a greenfield copper deposit with a copper, and gold mineral resource, with potential silver, and uranium, located between Carrapateena, and Olympic Dam.
Carrapateena achieved record material mined, and milled, which partially offset the impact of planned lower grades.
Non-operated joint ventures
Antamina
Antamina, with the company’s ownership at 33.75 per cent, is located in north central Peru, is a large, low-cost, open-cut copper, and zinc mine with by-products, including molybdenum, and silver. It is independently operated by Compañía Minera Antamina S.A.
Resolution Copper
Resolution Copper, with the company’s ownership at 45 per cent, in Arizona, US, represents one of the largest untapped, high-grade copper resources in the world, with the potential to become a significant copper producer in North America. Resolution Copper is operated by Rio Tinto.
Vicuña
Vicuña, with the company’s ownership at 50 per cent, is advancing the opportunity for a staged development of the Josemaria, and Filo del Sol deposits as an integrated project located along the border of San Juan province, Argentina, and the Atacama region of Chile. It is independently operated by Vicuña Corp, a Canadian-incorporated joint venture company.
Iron ore
Western Australia Iron Ore
Western Australia Iron Ore (WAIO), company ownership: 85% for the four main joint ventures (JVs): Mt Newman JV, Yandi JV, Mt Goldsworthy JV, and Jimblebar JV (the JVs are unincorporated, except Jimblebar JV); and 65% for POSMAC, which sells its ore to Mt Goldsworthy JV.
WAIO is an integrated system of four processing hubs, and five open-cut operational mines in the Pilbara region of northern Western Australia. It owns, and operates more than 1,000 kilometres of rail infrastructure, and two port facilities.
WAIO’s mineral reserves are developed through integrated mining hubs connected to the mines, and satellite orebodies by conveyors, or spur lines. This approach seeks to maximise the value of installed infrastructure by using the same processing plant, and rail infrastructure for several orebodies.
Ore is crushed, beneficiated (where necessary), and blended at the processing hubs – Mt Newman (which has the company’s beneficiation plant), Yandi (which will process Ministers North in the future), Mining Area C (the company’s largest operating iron ore hub, processing ore from Area C, and South Flank), and Jimblebar – to create lump, and fines products. These products are then transported along the Port Hedland–Mt Newman rail line to the Finucane Island, and Nelson Point port facilities at Port Hedland.
Non-operated joint venture
Samarco
Samarco, which is 50% owned by the company, comprises an open-cut mine, and three concentrators in Minas Gerais, Brazil, and four pellet plants, and a port in Anchieta, Espírito Santo, Brazil. Three 400-kilometre pipelines connect the mine to the pelletising facilities. Samarco is independently operated by Samarco Mineração S.A.
Operations were suspended in November 2015 following the Fundão dam failure. Since resuming in December 2020, Samarco has implemented enhanced tailings management practices, enabling operation without a conventional tailings dam. Samarco has pursued a safe, and sustainable phased restart. The third phase, approved by the Samarco Board in November 2025, is expected to increase production capacity to 100 per cent, targeting an annual production of approximately 26 Mtpa (100 per cent basis) by CY2029.
Coal
BHP Mitsubishi Alliance
BHP Mitsubishi Alliance (BMA), company ownership: 50 per cent, operates five steelmaking coal mines in the Bowen Basin, Queensland – Goonyella Riverside, Broadmeadow, Peak Downs, Saraji, and Caval Ridge. The mines are open cut, except for the Broadmeadow underground longwall operation. BMA has access to infrastructure, including a multi-user rail network, and owns, and operates its own coal-loading terminal at Hay Point, near Mackay.
Based on customer requirements, coal from different coal seams is blended to meet required quality specifications, then washed at processing plants on site at Goonyella Riverside (which also processes Broadmeadow coal), Saraji, Peak Downs, and Caval Ridge.
Energy coal
New South Wales Energy Coal
New South Wales Energy Coal (NSWEC), company ownership: 100 per cent, comprises the Mt Arthur Coal open-cut energy coal mine in the Hunter Valley. It has access to infrastructure in the Hunter Region, including a multi-user rail network, and coal loading terminal access at the Port of Newcastle through Newcastle Coal Infrastructure Group (company ownership: 28 per cent), and Port Waratah Coal Services.
The company has approval to continue mining at NSWEC until the end of FY2030.
Nickel
Western Australia Nickel
Western Australia Nickel, company ownership: 100 per cent, comprises Nickel West, and the West Musgrave project. It transitioned into temporary suspension at the end of the first half of FY2025 following oversupply in the global nickel market.
Western Australia Nickel holds the majority of tenements hosting nickel sulphide mineral resources in the Agnew-Wiluna belt, Western Australia. The Nickel West asset consists of open-cut, and underground mines, concentrators, and a smelter, and refinery for downstream processing. The West Musgrave project is a greenfield nickel, and copper project located in the West Musgrave Ranges of Western Australia. Project construction has been temporarily suspended at ~30 per cent completion.
Potash
Jansen potash project
The Jansen potash project, company ownership: 100 per cent, is located about 140 kilometres east of Saskatoon, Saskatchewan, Canada. Jansen’s large resource is being developed in stages, with Jansen Stage 1 (JS1) expected to produce 4.15 Mt of potash per annum once fully ramped up, while Jansen Stage 2 (JS2) is expected to produce an additional 4.36 Mtpa. Combined output from the Jansen potash project is expected to be 8.5 Mtpa once JS1, and JS2 are fully ramped up. There are further potential brownfield expansions of up to 8 Mtpa.
Jansen is a world-class asset, and is expected to have operating costs at the low end of the cost curve when fully ramped up. The company holds mineral leases covering around 8,600 square kilometres in the Saskatchewan potash basin.
Strategy
In pursuit of the company’s strategy, the company targets a portfolio of quality assets in attractive commodities, and relevant growth options.
History
BHP Group Limited was founded in 1851. The company was incorporated in 1885.</t>
  </si>
  <si>
    <t>Materials; Materials; Metals and Mining; Diversified Metals and Mining; Chemical And Fertilizer Mineral Mining; Diversified Metal Ores; Lead Ores; Nickel Ores; Zinc Ores; Smelting and Refining of Diversified Metals</t>
  </si>
  <si>
    <t>Materials</t>
  </si>
  <si>
    <t>Metals and Mining</t>
  </si>
  <si>
    <t>Diversified Metals and Mining</t>
  </si>
  <si>
    <t>Copper</t>
  </si>
  <si>
    <t>Iron Ore</t>
  </si>
  <si>
    <t>Coal</t>
  </si>
  <si>
    <t>Group and Unallocated Items/Eliminations</t>
  </si>
  <si>
    <t>China Construction Bank Corporation (SEHK:939)</t>
  </si>
  <si>
    <t>China Construction Bank Corporation</t>
  </si>
  <si>
    <t>China Construction Bank Corporation (CCB) provides a comprehensive suite of financial services including corporate banking, personal banking, and treasury operations in the People’s Republic of Cina and internationally.
Business Segments
The company has structured its operations into distinct business segments. These segments are primarily categorized as Corporate Banking, Personal Banking, and Treasury Operations.
Corporate Banking
This segment serves a vast clientele that includes state-owned enterprises, private corporations, and government institutions. This segment offers a wide range of financial products such as loans, trade financing, cash management services, and investment banking solutions.
Personal Banking
This segment offers risk-bearing products such as savings accounts, personal loans, mortgages, credit cards, and wealth management services. This segment utilizes digital platforms to enhance the customer experience.
Treasury Operations
This segment involves managing the company’s liquidity, investments, and market risk exposure. This segment deals with foreign exchange, derivatives, and securities trading.
Business Strategy
The company operates under a framework that prioritizes innovation, digital transformation, and improvements to customer service.
The company strives to enhance its competitive position through digital banking initiatives, leveraging advanced technology to streamline operations and deliver services to customers. It invests significantly in fintech innovations aimed at improving transaction efficiency, security, and customer engagement. By incorporating data analytics and artificial intelligence, CCB aims to understand customer behaviors better and tailor services that meet specific client needs.
In addition to technology and employee training, the company focuses on expanding its geographical footprint and diversifying its product offerings. By entering new markets and developing niche products, CCB positions itself to exploit growth opportunities while mitigating market volatility.
Products and Services
The company offers a comprehensive range of products and services designed to meet the requirements of its extensive customer base, which includes individuals, corporations, and government entities.
Corporate Banking products encompass various financial services, primarily focusing on loans, credit facilities, and trade finance solutions. CCB provides tailored financing solutions to meet the needs of various industries, ranging from construction to technology. Alongside traditional banking services, the company offers equity financing, bond underwriting, and advisory services for mergers and acquisitions.
Personal Banking products include savings accounts, time deposits, personal loans, mortgages, and credit cards. Customers have access to a variety of wealth management tools, including mutual funds, insurance products, and retirement planning services. CCB facilitates online banking to make financial transactions accessible and convenient for individual clients.
Investment Banking services offered by CCB cater to both corporate clients and institutional investors. This includes equity and debt capital market services, asset management, and financial advisory services. The investment banking division engages in structuring complex financial products to meet client needs in capital market activities.
Treasury and Investment products encompass foreign exchange services, derivatives trading, and fixed income securities to manage liquidity and investment risks. The treasury segment provides crucial functions related to interest rate risk, funding management, and maintaining the bank's overall liquidity position.
International Banking facilitates cross-border transactions and provides global financial solutions for clients engaged in international trade.
Geographical Markets Served
The company predominantly operates across major urban areas in Mainland China. The company’s geographical reach extends to key international markets, including Hong Kong, Singapore, London, New York, and various other locations worldwide.
The geographic segmentation includes regions such as the Yangtze River Delta, Pearl River Delta, Bohai Rim, Central region, Western region, and Northeastern region in China.
Seasonality
The company operates in a financial environment that experiences certain seasonal trends, particularly in the lending and deposit businesses. Traditionally, the demand for banking services can fluctuate based on the economic cycles and consumer behaviors associated with different times of the year.
While the overall banking industry may exhibit quarterly variations, CCB’s diversified portfolio and strategic management of its financial products help mitigate the impacts of seasonal fluctuations. The company continuously monitors these trends to adjust its marketing strategies, resource allocation, and product offerings effectively.
Customers
The company serves a broad spectrum of customers that include individual consumers, small and medium-sized enterprises (SMEs), large corporations, and government institutions.
The retail banking segment attracts millions of individual customers who rely on CCB for savings accounts, personal loans, mortgages, and various investment products. The branch network and online banking platform serve over 300 million individual clients.
CCB services thousands of businesses across various sectors, including infrastructure, real estate, manufacturing, and technology. The company’s corporate banking solutions cater to both national and multinational corporations.
Government entities also form a significant customer base, with CCB providing comprehensive financial services such as funding for public works, treasury management, and advice on large-scale projects.
Trade Names
As of the latest report, CCB holds 1,256 patents, including 739 invention patents, leading the domestic banking sector in technological innovation.
Sales and Marketing
The company employs a multifaceted approach to marketing and distribution channels, designed to maximize customer reach and enhance brand visibility. The company utilizes a combination of traditional and digital marketing strategies to promote its products and services effectively.
The traditional marketing approach includes direct marketing, print advertisements, and participation in community events to engage potential clients and reinforce customer relationships.
Additionally, CCB leverages digital marketing extensively, utilizing social media campaigns, email marketing, and online advertisements to reach a broader audience.
The distribution channels consist of an extensive network of branches and ATMs across Mainland China and international locations.
Government Regulations
The company is subject to regulatory oversight from authorities such as the People's Bank of China, the China Banking and Insurance Regulatory Commission, and other relevant governmental bodies. These regulations govern various aspects of banking operations, including capital adequacy, risk management, anti-money laundering (AML) practices, and consumer protection standards.
History
China Construction Bank Corporation was founded in 1954.</t>
  </si>
  <si>
    <t>Treasury Business</t>
  </si>
  <si>
    <t>Others</t>
  </si>
  <si>
    <t>Unallocated Deferred Tax Assets</t>
  </si>
  <si>
    <t>Chroma ATE Inc. (TWSE:2360)</t>
  </si>
  <si>
    <t>Chroma ATE Inc.</t>
  </si>
  <si>
    <t>TWSE</t>
  </si>
  <si>
    <t>Chroma ATE Inc. designs, assembles, manufactures, sells, repairs, and maintains software/hardware for computers and peripherals, computerized automatic test systems, electronic test instruments, signal generators, power supplies, and telecom power supplies.
Business Segments
The company is structured into several primary business department that focus on distinct products and services catering to various industries. The company operates through Special Materials, Test Instrument, and Automatic Equipment departments.
Special Materials Department
This department encompasses the development and supply of specialized materials that are essential in high-tech applications. The products in this category are tailored to meet customer specifications and support advanced manufacturing processes, ensuring durability, reliability, and performance in their applications. The company invests in state-of-the-art technology and R&amp;D to continuously innovate its offerings, staying ahead of market trends and requirements. Test Instrument, Automatic Equipment, 
Test Instrument Department
This department provides a wide range of testing and measurement equipment that is critical for evaluating the performance and quality of materials and components across diverse fields including electronics, materials science, and engineering. The sophisticated instruments are designed to offer precise measurements, enhancing the capability of clients to ensure compliance with industry standards and enhance product quality.
Automatic Equipment Department
This department specializes in manufacturing automated solutions that streamline production processes, improve efficiency, and reduce operational costs for clients. By integrating advanced technologies such as robotics and artificial intelligence, the automatic equipment segment enables customers to optimize their manufacturing operations and achieve greater productivity.
Business Strategy
The company adopts a dynamic business strategy aimed at fostering sustainable growth and enhancing competitiveness within its market sectors. The company emphasizes innovation as a core component of its strategic approach. By investing heavily in R&amp;D, the company develops cutting-edge technologies and products that meet evolving customer needs while adhering to industry standards. This innovation-driven strategy allows the company to differentiate itself in a highly competitive environment.
In addition, the company leverages its extensive market knowledge and experience to expand its geographical footprint. By entering new markets and enhancing its presence in existing regions, the company seeks to access a broader customer base and diversify its revenue streams. Strategic alliances and partnerships with other industry leaders further augment the company's capabilities and market reach.
Moreover, the company places a strong focus on customer relationships. By prioritizing customer satisfaction through tailored solutions, efficient service delivery, and an ongoing dialogue with its clientele, the company seeks to build lasting partnerships that drive repeat business and loyalty.
Products and Services
The company offers an extensive range of products and services across its business segments. 
The Special Materials Department supplies various high-tech materials crucial for numerous applications. These specialized materials are designed with precision and undergo rigorous testing to ensure they meet stringent quality standards.
In the Test Instrument Department, the company provides an array of sophisticated instruments that cater to different testing needs. These devices are pivotal for industries such as electronics and materials engineering, facilitating accurate and reliable assessments of product quality and performance.
The Automatic Equipment Department delivers automation solutions aimed at enhancing operational efficiency. With a focus on reliability and effectiveness, the equipment manufactured includes robotics systems and automated production lines tailored to specific manufacturing processes.
The integration of state-of-the-art technology and a commitment to ongoing product development signifies The company's dedication to quality and excellence in serving its customers' diverse needs.
Geographical Markets Served
The company primarily operates in Taiwan, the Republic of China, America, and various other international markets. The company strategically targets these regions to maximize its reach and establish a robust market presence.
Seasonality
The company experiences varying levels of market demand throughout the year, influenced by industry-specific trends and customer cycles. The management closely monitors these patterns to optimize production and supply chain strategies, ensuring that the company can meet customer demands effectively and efficiently, thereby minimizing potential disruptions in service continuity.
Customers
The company serves a diverse range of customers, including major corporations across various industries such as electronics, manufacturing, and engineering. The commitment to quality and innovation has enabled the company to build a loyal customer following, serving thousands of clients worldwide.
Sales and Marketing 
The company employs a multifaceted approach to sales and marketing, leveraging both direct and indirect channels to reach customers. The company utilizes digital marketing strategies, direct sales representatives, and partnerships with distributors to effectively engage with clients.
History
Chroma ATE Inc. was founded in 1984. The company was incorporated in 1984.</t>
  </si>
  <si>
    <t>Information Technology; Technology Hardware and Equipment; Electronic Equipment, Instruments and Components; Electronic Equipment and Instruments; Measuring, Analyzing, and Controlling Instruments</t>
  </si>
  <si>
    <t>Information Technology</t>
  </si>
  <si>
    <t>Technology Hardware and Equipment</t>
  </si>
  <si>
    <t>Electronic Equipment, Instruments and Components</t>
  </si>
  <si>
    <t>Electronic Equipment and Instruments</t>
  </si>
  <si>
    <t>Measuring Instruments Business</t>
  </si>
  <si>
    <t>Automatic Equipment Department</t>
  </si>
  <si>
    <t>Internal Write-Off</t>
  </si>
  <si>
    <t>Commonwealth Bank of Australia (ASX:CBA)</t>
  </si>
  <si>
    <t>Commonwealth Bank of Australia</t>
  </si>
  <si>
    <t>Commonwealth Bank of Australia (CBA) operates as a provider of financial services and products.
Business Segments
The company operates through Retail Banking Services, Business Banking, Institutional Banking and Markets, and New Zealand Banking segments.
Retail Banking Services
This segment represents the largest portion of CBA's operations, offering products and services tailored for individual customers. Products include home loans, personal loans, credit cards, and transaction accounts. The segment has been enhancing its digital offerings, streamlining processes such as online applications, digital transactions, and personalized banking services to improve customer engagement. CBA's retail division is characterized by its strong brand loyalty and extensive branch network across Australia.
Business Banking
This segment services small to medium enterprises and encompasses a range of financial solutions including business loans, business credit cards, and operational banking services. Known for its commitment to supporting local businesses, CBA provides tailored financial advice and dedicated relationship management. The Business Banking segment focuses on developing long-term partnerships with clients and leveraging digital solutions to support business operations and growth.
Institutional Banking and Markets
This segment caters to large corporations, government entities, and institutional investors by providing customized financial solutions. Services include corporate finance, transaction banking, capital markets, and risk management products. In addition, CBA offers investment advice and securities trading, positioning its Institutional Banking division as a leader in Australia’s financial market.
New Zealand Banking
This segment encompasses retail, business, and institutional banking services, and contributes significantly to CBA's overall performance. The New Zealand division operates with a focus on local customer needs while also benefiting from insights and support from CBA's broader operations.
Business Strategy
The company’s business strategy revolves around enhancing customer focus and enabling digital transformation. The company emphasizes providing exceptional customer experiences by utilizing data analytics and customer feedback to refine its product offerings. Embracing digital innovations such as online banking applications and mobile banking functionalities aligns with CBA's strategic goal to make banking easier and more accessible for all customers.
Moreover, the company has invested significantly in technology and innovation, enabling it to stay ahead in a highly competitive financial market. Digital investments include developing artificial intelligence capabilities for customer support and data-driven decision-making to enhance operational efficiency. CBA's focus on compliance with regulatory requirements ensures it remains a trusted institution while adapting to the evolving financial landscape.
Products and Services
The company offers a comprehensive range of products and services designed to meet the financial needs of its customers across all segments. Key offerings include:
Retail Banking Products: CBA provides various personal banking services including home loans, personal loans, savings accounts, term deposits, and credit cards. Its products are characterized by flexibility, competitive interest rates, and innovative features such as offset accounts and rewards programs.
Business Banking Services: This category includes business loans, asset financing, merchant services, and tailored banking solutions for small to medium-sized enterprises. CBA focuses on offering financial products that support business growth while providing access to dedicated advisory services.
Institutional Banking Solutions: CBA’s institutional offerings include capital raising, credit solutions, and transaction services. The bank provides specialized products for risk management and foreign exchange trading, ensuring clients have the tools needed to navigate complex financial environments.
Wealth Management Services: CBA provides financial advisory services, investment solutions, superannuation products, and asset management services. Wealth management offerings are tailored to meet the needs of personal and institutional clients, focusing on achieving long-term financial objectives.
Insurance Products: The bank offers a range of insurance products including life insurance, general insurance, and income protection solutions, catering to diverse client needs while ensuring comprehensive protection.
Geographical Markets Served
The company primarily operates within Australia, serving individual, business, and institutional customers across the nation. In addition to its robust domestic presence, CBA has established operations in international markets, particularly through its New Zealand subsidiary, ASB Bank, which caters to local consumers and businesses. The geographical reach allows CBA to leverage local market insights while benefiting from a strong brand recognition in both Australia and New Zealand.
Seasonality
The company does not exhibit significant seasonality in its operations as its services are essential throughout the year. However, certain financial products such as home loans may see increases in activity during peak housing market periods, impacting applications and approvals. Conversely, consumer spending often fluctuates with seasonal events, which can influence retail banking revenues.
Customers
The company serves a diverse customer base that includes individual consumers, small and medium businesses, large corporations, and institutional clients.
Sales and Marketing
The company utilizes a multi-channel approach for sales and marketing to effectively reach its customers. This includes traditional marketing methods such as television and print advertising, alongside increasingly digital-focused strategies. Digital marketing initiatives take advantage of social media platforms, online advertisements, and content marketing to engage with customers in a dynamic manner. CBA maintains a strong digital presence, with customer acquisition driven through its website and mobile applications, allowing customers to access banking services seamlessly.
Government Regulations
The company operates in a highly regulated environment, subject to oversight from various government entities including the Australian Prudential Regulation Authority (APRA) and the Australian Securities and Investments Commission (ASIC). Compliance with these regulatory bodies ensures the company adheres to financial stability standards and protects consumer interests.
History
Commonwealth Bank of Australia was founded in 1911.</t>
  </si>
  <si>
    <t>Retail Banking Services (Incl. Bankwest)</t>
  </si>
  <si>
    <t>Business Banking</t>
  </si>
  <si>
    <t>Institutional Banking and Markets</t>
  </si>
  <si>
    <t>New Zealand</t>
  </si>
  <si>
    <t>Corporate Centre and Other</t>
  </si>
  <si>
    <t>DBS Group Holdings Ltd (SGX:D05)</t>
  </si>
  <si>
    <t>DBS Group Holdings Ltd</t>
  </si>
  <si>
    <t>SGX</t>
  </si>
  <si>
    <t>DBS Group Holdings Ltd (DBSH) is a financial services group. The company provides a range of banking and financial services, including consumer banking, wealth management, institutional banking, and treasury and markets services.
Business Segments
The company operates through several key business segments. The primary segments include Consumer Banking/Wealth Management, Institutional Banking, and Treasury and Markets.
Consumer Banking/Wealth Management
This segment focuses on providing a wide array of banking services to individual customers, including personal loans, mortgages, credit cards, and savings accounts. The company also offers wealth management services, which encompass investment advisory, portfolio management, and insurance products.
Institutional Banking
This segment caters to corporate clients, offering a suite of services such as corporate loans, trade financing, cash management, and investment banking solutions.
Treasury and Markets
This segment focuses on managing the company's liquidity and funding needs while providing clients with access to a range of treasury and capital market products. The company engages in foreign exchange, fixed income, and derivatives trading, enabling it to offer clients effective risk management solutions and investment opportunities.
Business Strategy
The company's business strategy is centered around its commitment to digital transformation, customer-centricity, and sustainable growth. The company aims to leverage technology to enhance its service offerings and improve operational efficiency. By investing in digital banking platforms and innovative financial solutions, DBSH seeks to provide customers with a seamless and convenient banking experience.
The company's focus on customer-centricity drives its efforts to understand and anticipate the needs of its clients. By offering personalized financial solutions and exceptional service, DBSH aims to build long-lasting relationships with its customers. The company's strategic partnerships and collaborations with fintech firms further enhance its ability to innovate and deliver financial solutions.
Products and Services
The company offers a range of products and services designed to meet the needs of its various customer segments. The company's offerings include:
Consumer Banking: The company provides an array of consumer banking products, including savings and current accounts, personal loans, home loans, credit cards, and auto loans. These products are designed to cater to the financial needs of individual customers, providing them with convenient access to banking services.
Wealth Management: DBSH offers wealth management services, including investment advisory, portfolio management, insurance products, and retirement planning. The company's wealth management solutions are tailored to help clients achieve their financial goals and secure their financial future.
Corporate Banking: The company provides a range of corporate banking services, including business loans, trade financing, cash management, and treasury services. These offerings are designed to support businesses in their financial operations and growth initiatives.
Investment Banking: DBSH offers investment banking services, including mergers and acquisitions advisory, capital raising, and equity and debt underwriting. The company's expertise in this area enables it to provide clients with strategic financial advice and support.
Treasury and Markets: The company engages in treasury and capital market activities, offering clients access to foreign exchange, fixed income, and derivatives products. These services are designed to help clients manage their financial risks and optimize their investment strategies.
Geographical Markets Served
The company operates primarily in Asia, with a strong presence in Singapore, Hong Kong, Taiwan, China, Indonesia, India, and other key markets. The company's strategic focus on the Asian region allows it to capitalize on the growing demand for financial services in emerging economies.
Seasonality
The company's business is subject to certain seasonal trends, particularly in the consumer banking and wealth management segments. Demand for personal loans and credit cards may fluctuate during festive seasons and holidays, impacting the company's overall performance.
Customers
The company serves a range of customers, including individual consumers, small and medium-sized enterprises (SMEs), large corporations, and institutional clients. The company's customer base spans various sectors, including retail, manufacturing, technology, and finance.
Sales and Marketing
The company employs a multi-channel approach to sales and marketing, utilizing both traditional and digital marketing strategies. The company leverages its extensive branch network, online banking platforms, and mobile applications to reach customers effectively. Additionally, DBSH engages in targeted marketing campaigns to promote its products and services, enhancing brand awareness and customer engagement.
Government Regulations
The company adheres to the regulations set forth by the Monetary Authority of Singapore (MAS) and other relevant authorities in the jurisdictions where it operates.
History
DBS Group Holdings Ltd was founded in 1968. The company was incorporated in 1999.</t>
  </si>
  <si>
    <t>Consumer Banking/Wealth Management</t>
  </si>
  <si>
    <t>Institutional Banking</t>
  </si>
  <si>
    <t>Markets Trading</t>
  </si>
  <si>
    <t>Unallocated Goodwill and Intangibles</t>
  </si>
  <si>
    <t>Delta Electronics, Inc. (TWSE:2308)</t>
  </si>
  <si>
    <t>Delta Electronics, Inc.</t>
  </si>
  <si>
    <t>Information Technology; Technology Hardware and Equipment; Electronic Equipment, Instruments and Components; Electronic Components; Electronic Components; Electronic Capacitors, Resistors and Diodes; Electronic Component Transformers</t>
  </si>
  <si>
    <t>Electronic Components</t>
  </si>
  <si>
    <t>Infrastructure Business Group</t>
  </si>
  <si>
    <t>Automation Business Group</t>
  </si>
  <si>
    <t>Power Supply and Spare Parts Business Group</t>
  </si>
  <si>
    <t>Transportation Business Group</t>
  </si>
  <si>
    <t>Hon Hai Precision Industry Co., Ltd. (TWSE:2317)</t>
  </si>
  <si>
    <t>Hon Hai Precision Industry Co., Ltd.</t>
  </si>
  <si>
    <t>Hon Hai Precision Industry Co., Ltd. provides mechanical solutions. The Company manufactures connectors for use in PCs in Taiwan, and also manufactures connectors and cable assemblies worldwide. The Company also manufactures enclosures, primarily for desktop PCs and PC servers. Foxconn is the registered trade name for the Company.
Connectors &amp; Cable Assemblies
Connectors have applications in various industries — computers, automobile, communications, consumer products, medical, and defense. Foxconn focuses on offering a range of connectors and cable assemblies for desktop and notebook PCs and PC peripherals. Approximately 500 types of connectors are produced and sold under the Company's own Foxconn brand name. Foxconn has branched into manufacturing connectors for communications and consumer products.
PC Enclosures
Foxconn manufactures PC enclosures for desktop computers. Depending on its client's specifications, the casings can be sold together with floppy disk drives, switching power supplies, connectors, cable assemblies, and riser cards. Foxconn provides integrated mechanical solutions for clients to deal with thermal, acoustic, environmental, mechanical, functional, and design problems.
Markets and Facilities
The Company primarilt serves in Taiwan. In addition it has distribution centers in various key cities in Asia, Europe, and America. Foxconn's principal manufacturing operations are based in Taiwan and mainland China. It has also set up production facilities in Europe and the United States. Foxconn is in the process of setting up new production facilities in Ireland, and is also considering Central America as a production center.
Significant Events
Hon Hai Precision Industry Co., Ltd. has established a unit to enter the business of assembling liquid crystal display (LCD) televisions.
The company and Chi Mei Optoelectronics Corp. have formed a joint venture, Ampower Holding Ltd, that makes inverters meant for television sets fitted with TFT-LCD screens.
The company has formed a strategic partnership with United Keys, Inc. As part of this partnership, Foxconn would build display-key input devices using United Keys technology. Display-keys are regular keyswitches with small OLED displays embedded in their tops. This allows interactive and image-based communication between software and users.
On September 5, 2009, Sony Corporation announced that it has agreed to form a partnership with Hon Hai Precision Industry Co. Ltd. for the production of LCD TVs for the Americas region.
History
Hon Hai Precision Industry Co., Ltd. was founded in 1974.</t>
  </si>
  <si>
    <t>Information Technology; Technology Hardware and Equipment; Electronic Equipment, Instruments and Components; Electronic Manufacturing Services; Outsourced Technology Manufacturing Services; Electronic Manufacturing Services (EMS)</t>
  </si>
  <si>
    <t>Electronic Manufacturing Services</t>
  </si>
  <si>
    <t>Number of Write-Offs</t>
  </si>
  <si>
    <t>FIH Subgroup</t>
  </si>
  <si>
    <t>FII Subgroup</t>
  </si>
  <si>
    <t>Foxconn Population</t>
  </si>
  <si>
    <t>Other</t>
  </si>
  <si>
    <t>Hyundai Motor Company (KOSE:A005380)</t>
  </si>
  <si>
    <t>Hyundai Motor Company</t>
  </si>
  <si>
    <t>KOSE</t>
  </si>
  <si>
    <t>Hyundai Motor Company is a multinational automotive manufacturer. The company manufactures and distributes motor vehicles and parts worldwide. It operates through vehicle, finance, and others segments. With a diverse lineup that includes sedans, SUVs, and electric vehicles, the company seeks to meet the evolving needs of consumers globally.
Business Segments
The company operates through several business segments, which allow it to maintain a competitive edge and adapt to market demands. The primary segments include the manufacture and sale of vehicles, parts and accessories, and financial services. The automotive segment is the most significant, contributing the bulk of revenue through the design, production, and distribution of a wide range of vehicles. The passenger vehicles division provides a comprehensive selection of sedans, SUVs, and electric models to cater to diverse consumer preferences.
Additionally, the company has made strides in commercial vehicles, focusing on enhancing logistics and transportation solutions. The parts and accessories segment offers innovative solutions for upgrading existing vehicles, ensuring that he company's customers have access to components that enhance their driving experience. The financial services segment supports customers by providing financing solutions for vehicle purchases, thereby easing the path to owning the company vehicle. This segment also supports dealer operations and enhances overall customer engagement.
The company has invested heavily in technological advancements, particularly in the area of electric vehicles (EVs) and fuel cell technologies aiming for sustainability and reduced environmental impact.
Business Strategy
The business strategy of the company is built on the foundation of innovation, quality, and customer satisfaction. The company has strategically focused on expanding its portfolio of electric and hydrogen fuel cell vehicles, recognizing the growing demand for sustainable transportation solutions. This commitment is evident in the company's targeted investments in new technologies and eco-friendly initiatives designed to reduce its carbon footprint.
The company aims to leverage technologies such as artificial intelligence, connectivity, and autonomous driving to enhance vehicle capabilities and offer a superior customer experience. By investing in a comprehensive research and development approach, the company seeks not only to improve its existing product lines but also to innovate new solutions that meet future mobility demands.
Furthermore, the company emphasizes expanding its presence in emerging markets, by understanding local consumer preferences and adapting vehicle offerings accordingly. This localized strategy focuses on building brand loyalty through tailored marketing approaches and improving dealer networks.
The company's digital transformation initiative seeks to revolutionize customer interactions, making purchasing processes more seamless and engaging. E-commerce platforms are being developed to facilitate online vehicle purchasing and enhance customer relationship management.
Additionally, strategic partnerships and collaborations with technology companies, research institutions, and automotive peers play a crucial role in accelerating the company's innovation and market reach.
Products and Services
The company offers a diverse array of products and services that reflect its dedication to meeting the needs of a global customer base. The company's primary product line consists of vehicles ranging from compact cars and sedans to SUVs and trucks. Certain key models have gained significant attention for their reliability, safety features, and overall performance.
The company has also expanded its range of electric vehicles to include multiple models such as the Hyundai Kona Electric and the Ioniq series, which cater to consumers looking for eco-friendly transportation options. The introduction of hydrogen fuel cell vehicles has positioned the company as a pioneer in sustainable automotive technologies.
Beyond vehicles, the company provides various related services, including financing options to assist customers in acquiring vehicles. This includes leasing and loan services tailored to individual and commercial clients. The company's parts and accessories division offer OEM products that ensure the company vehicles maintain optimal performance standards.
The company maintains an after-sales service network, ensuring customers receive ongoing support long after their purchases. This service commitment, paired with the availability of genuine parts, contributes to long-lasting customer relationships and satisfaction.
Geographical Markets Served
The company serves a wide range of geographical markets globally, with a significant presence in regions such as North America, Europe, Asia, and the Middle East. The company has established manufacturing plants in several key locations, enabling it to meet the demands of local markets efficiently.
Sale of Segment
On the divestiture, the company has made decisions to streamline operations by selling certain segments like Hyundai Motor Manufacturing Rus LLC (HMMR), which has been classified as a discontinued operation as of December 31, 2023. This strategic decision is part of a broader approach to focus on more profitable and strategic ventures.
Seasonality
The company experiences some seasonality in its operations, primarily due to fluctuations in consumer demand based on economic conditions, market trends, and seasonal buying behaviors. Sales typically see an increase during spring and summer, which align with traditional automotive sales peaks as customers look to purchase new vehicles.
Customers
The company serves a diverse customer base across various categories, including individual consumers, commercial businesses, governmental agencies, and fleet operators. By offering a wide range of vehicles suited to different transportation needs, the company caters to both budget-oriented and luxury-focused markets.
Sales and Marketing
The company uses a multi-faceted approach to sales and marketing that includes traditional advertising, digital marketing, and direct customer engagement strategies. The company's marketing campaigns emphasize innovation, safety, and environment-friendly technologies.
Distribution channels include a well-established network of dealerships and online platforms, ensuring that customers have access to vehicles and services at their convenience. This channel diversity allows the company to cater to varying customer preferences, from direct vehicle purchases to virtual engagement.
History
Hyundai Motor Company was founded in 1967. The company was incorporated in 1967.</t>
  </si>
  <si>
    <t>Consumer Discretionary; Automobiles and Components; Automobiles; Automobile Manufacturers; Light Truck and Sport Utility Vehicles (SUVs); Passenger Motor Vehicles</t>
  </si>
  <si>
    <t>Automobiles and Components</t>
  </si>
  <si>
    <t>Automobiles</t>
  </si>
  <si>
    <t>Automobile Manufacturers</t>
  </si>
  <si>
    <t>Automotive</t>
  </si>
  <si>
    <t>Finance</t>
  </si>
  <si>
    <t>Consolidation Adjustments</t>
  </si>
  <si>
    <t>ICICI Bank Limited (NSEI:ICICIBANK)</t>
  </si>
  <si>
    <t>ICICI Bank Limited</t>
  </si>
  <si>
    <t>NSEI</t>
  </si>
  <si>
    <t>ICICI Bank Limited (ICICI Bank) operates as a diversified financial services group offering a wide range of banking and financial services to corporate and retail customers through a variety of delivery channels.
Apart from banking products and services, the company offers life and general insurance, asset management, securities brokerage, and private equity products and services through specialized subsidiaries.
The company's primary business consists of commercial banking operations for retail and corporate customers. The company's commercial banking operations for retail customers consist of retail lending, deposit taking, and other fee-based products and services. The company provides a range of commercial banking products and services, including loan products, fee and commission-based products and services, deposit products and foreign exchange and derivatives products to large corporations, middle market companies, and small and medium enterprises. The company also offers agricultural and rural banking products. The company earns interest and fee income from commercial banking operations. The company delivers products and services through a variety of channels, including bank branches, ATMs, call centers, internet, and mobile phones. The company had a network of various branches, ATMs, and cash recycler machines in India at year-end fiscal 2026.
At year-end fiscal 2026, the company had banking subsidiaries in the United Kingdom and Canada, branches in the United States (New York), Dubai International Finance Centre, Bahrain, Hong Kong, Singapore, China, Offshore Banking Unit in Mumbai, and IFSC Banking Unit in Gandhinagar. In May 2026, the company received the no-objection letter from the Reserve Bank of India to close the Offshore Banking Unit located in the Santacruz Electronic Exports Promotion Zone, Mumbai. At year-end fiscal 2026, the company had representative offices in the United Arab Emirates (Dubai, Abu Dhabi, and Sharjah), the United States (Texas, California, Illinois, and New Jersey), Nepal, Bangladesh, Sri Lanka, Malaysia, and Indonesia. The company's subsidiary in the United Kingdom has a branch in Germany.
The company's treasury operations include the maintenance and management of regulatory reserves, proprietary trading in equity and fixed income, and a range of foreign exchange and derivatives products and services for corporate customers, such as forward contracts, and interest rate and currency swaps.
The company is also engaged in insurance, asset management, securities brokerage business, and private equity fund management through specialized subsidiaries. The company's subsidiaries, ICICI Prudential Life Insurance Company Limited, ICICI Lombard General Insurance Company Limited, and ICICI Prudential Asset Management Company Limited, provide a wide range of life insurance, general insurance, and asset management products respectively.
The company's subsidiary ICICI Securities Limited is engaged in equities underwriting, securities brokerage, and distribution of financial products. The company's subsidiary ICICI Securities Primary Dealership Limited is engaged in underwriting and primary dealership of government securities. The company's private equity fund management subsidiary, ICICI Venture Funds Management Company Limited, transferred the private equity, venture capital, and real estate fund management business to ICICI Prudential Asset Management Company Limited. ICICI Venture Funds Management Company Limited would continue to undertake certain advisory activities as well as manage certain residual funds. The company's subsidiary, ICICI Pension Fund Management Limited, is a registered pension fund manager under the National Pension System.
Strategy
In fiscal 2026, the company maintained its strategic focus on profitable growth in business within the guardrails of risk and compliance. The company grew its credit portfolio with a focus on granularity, and saw healthy growth across its retail and business banking and wholesale portfolios.
The company continued to focus on holistically serving clients and their ecosystems. The company sought to maintain and enhance its liability franchise.
The company maintains its focus on growing its loan portfolio in a granular manner based on risk and reward, with focus on return of capital and containment of provisions within targeted levels.
The company will continue with its strategic focus on growing the profit before tax excluding treasury (calculated as Profit before tax less Income from treasury-related activities, both reported separately in Operating Results Data).
The company aims to continue to grow its deposit franchise, and maintain a stable and healthy funding profile.
Products and Services
Commercial Banking for Retail Customers
The company's commercial banking operations for retail customers consist of retail lending and deposits, and fee-based products and services like credit, debit, and prepaid cards, and depositary share accounts.
Retail Lending Activities
The company's retail lending activities include home loans, automobile loans, commercial business loans, personal loans, credit cards, consumer durable goods financing, loans against time deposits, and loans against securities.
The company's suite of products and services for retail customers includes savings, investment, credit, and protection products, along with payment and transaction banking services. The company's retail portfolio consists largely of secured lending, with growth based on proprietary data and analytics in addition to credit bureau checks. The company's deposit franchise enables it to offer competitive pricing. The company also leverages its existing customer database for sale of key retail asset products through cross-sell and up-sell. The company's underwriting process involves a combination of key variables to assess the cash flow and repayment ability of the customer, like income, leverage, customer profile, quality markers, credit bureau data, and demographics. The company utilizes multiple data points, including liability and asset relationships, transaction behavior, and bureau behavior, along with proprietary machine learning and statistical models for making credit decisions.
Home Loan
The company's home loan portfolio includes loans for purchase and construction of homes, and by mortgaging residential or commercial properties. The company also offers instant top-up on loans to existing home loan customers. The company's policies for home loans are based on certain stipulated ratios, such as the loan-to-value ratio, and leverage to borrower’s income. The repayment term of home loans is 15 to 20 years with payments in the form of equal monthly installments over the tenor of the loan. The credit process includes a cashflow assessment of the borrower, as well as evaluating the property being mortgaged against the legal and technical standards defined at the company.
The company follows a comprehensive credit appraisal process when offering a loan-against-property. The average loan-to-value ratios of the loan-against-property portfolio are lower compared to the company's home loan portfolio. The company offers home loan products primarily in India through ICICI Bank and its wholly-owned subsidiary, ICICI Home Finance Company Limited. The loan portfolio of the company's housing finance subsidiary includes home loans, loans-against-property, and loans to developers, among others. The company also provides loans to customers belonging to economically weaker sections, and customers buying homes in the low-cost affordable housing segment. The company's banking subsidiary in Canada offers residential mortgages in the local market.
Automobile loans
The company finances the purchase of new and used automobiles. Automobile loans are fixed rate products repayable in equated monthly installments. The interest rate is based on factors, such as bureau score, customer relationship, car segment, and tenure of loan, among others, for new automobiles, and asset age car segment coupled with product variant like top-up or refinance, for used automobiles.
Commercial business loans
The company finances the purchase of commercial vehicles and equipment. Commercial business loans are fixed-rate products repayable in equated monthly installments. The company's commercial business customers include individuals to large fleet operators, contractors, as well as hirers.
Personal loans and credit cards
The company also offers unsecured products, such as personal loans and credit cards to its customers. Personal loans and credit card receivables have fixed interest rates. The company also offers a range of instant personal loans and credit cards that are accessible through its digital channels.
Retail Deposits
The company's retail deposit products include time deposits and savings account deposits. The company offers these products and 360-degree solutions across life stages—minor, student, professionals, senior citizen—and to specific customer segments, such as high net-worth individuals, defense personnel, trusts, start-ups, and business owners. The company offers customers seamless account opening and activation through enhanced system-driven validations. The company also offers corporate salary account and current account (i.e., checking accounts for businesses) to its large, medium, and small enterprise customers.
Fee-Based Products and Services
Through the company's distribution network, it offers various products, including Government of India savings bonds, sovereign gold bonds, insurance policies, mutual funds, bullion, and public offerings of equity shares and debt securities by Indian companies. The company offers several card-based products, such as credit cards, debit cards, prepaid cards, travel cards, and commercial cards. The company also offers foreign exchange products to retail customers, including sale of currency notes and travel cards. The company also facilitates retail inward remittances from outside of India.
As a depositary participant of the National Securities Depository Limited and Central Depository Services (India) Limited, the company offers depositary services by opening demat accounts to settle securities transactions in a dematerialized mode. Further, the company is one of the banks designated by the Reserve Bank of India for issuing approvals to non-resident Indians and overseas corporate bodies to trade in shares and convertible debentures on the Indian stock exchanges and operating their banking and custody accounts.
Retail lending for rural customers
The company's rural banking operations aim to meet the financial requirements of customers in rural and semi-urban locations. The company's products in this segment include working capital loans for growing crops, financing of post-harvest activities, loans against gold jewellery, financing against warehouse receipts, and farm equipment loans. The company offers financial solutions to micro-finance institutions, self-help groups, co-operatives constituted by farmers, corporations, and medium enterprises engaged in agriculture-linked businesses.
The company's rural banking operations primarily focus on four main ecosystems identified in the rural market, which include farmers, dealers, self-employed individuals, as well as micro-entrepreneurs.
The farmer ecosystem includes participants, such as farmers, seed producers, agri-input dealers, warehouse operators, agri-equipment dealers, commodity traders, and agri processors. Products offered include working capital loans through the kisan credit card and gold loan products, and term loans for farm equipment, dairy livestock purchase, and farm development.
The dealer ecosystem comprises distributors and suppliers of farm equipment and agri-related inputs. The self-employed ecosystem includes rural entrepreneurs engaged in trade and manufacturing across both agri and non-agri sectors. The micro-entrepreneur ecosystem focuses on women from low-income backgrounds, non-government organizations, and other institutions working at the grassroots level in the rural economy.
The company has scaled-up funding of electronic negotiable warehousing receipts, which provides an opportunity for farmers to access credit quickly and with ease. Farmers can use electronic negotiable warehousing receipts to get loans against underlying commodities. This protects farmers from volatility and gives opportunities to avail better prices for their produce. Apart from meeting the financial requirements for business purposes, the company also offers products to meet the personal requirements of customers in the rural ecosystem.
The company's reach in rural areas comprises a network of branches, ATMs, and field staff, and business correspondents providing last-mile access in remote areas. As at year-end fiscal 2026, the company had a network of branches, of which 48.5% were in rural and semi-urban areas.
Commercial Banking for Business Banking
The company's business banking customers include proprietorship firms, partnership firms, and public/private limited companies. The company offers a wide spectrum of banking products and solutions to address their evolving business needs. This involves customized offerings, faster turnaround time, transaction convenience, timely access to capital, and cross-border trade and foreign exchange. The company's focus in this segment is on using digital channels and ensuring granularity, obtaining adequate collateral, and enhanced monitoring. The loans are generally secured by collateral in the form of property, apart from a charge on current assets. The company's business banking portfolio consists of clients with a turnover of up to Rs 7.5 billion. The company focuses on providing parameterized and programme-based lending for business banking clients, which is granular, adequately collateralized, and regularly monitored.
The company is focused on growing this portfolio by leveraging its distribution network and through various digital channels and platforms, tapping corporate ecosystems, and ongoing efforts towards process decongestion. DigiEase is a digital onboarding platform for business banking customers to provide a seamless onboarding experience. The platform leverages integration with various public data infrastructures for procuring and processing data digitally.
Commercial Banking for Corporate Customers
The company's product suite for corporate customers caters to all their needs, including working capital and term loan products, transaction banking services, fee and commission-based products and services, deposits, and foreign exchange and derivatives products across trade, treasury, bonds, commercial papers, channel financing, supply chain solutions, and various other activities. The company caters to the entire ecosystem of the corporate customer, also focusing on deepening the company's relationship with employees and sponsors through a suite of retail products, like salary, private and wealth banking, home loans, personal loans, vehicle loans, etc. The company's corporate customer base includes top business houses, large private companies and public sector companies, financial institutions, banks, non-bank finance companies, private equity funds, real estate companies, and capital market and custody participants. The company has established relationships with multinational companies operating in India, and financial sponsors, including private equity funds and their investee companies. The company offers transaction banking services to corporates to meet their day-to-day needs for smooth functioning of their businesses. The transaction banking services offered include account related services, payment and collection services, domestic and crossborder trade finance, working capital finance, and supply chain finance. The company offers integrated cash management and trade finance solutions to customers. The company's transaction banking solutions are delivered to customers through physical and digital channels and a team of account managers. The company also provides transaction banking services to customers through expanded branch capabilities at various locations, many of which are in the factory/township premises of certain large conglomerates in the country.
Corporate Loan Portfolio
The company's corporate loan portfolio consists of term loan products and working capital financing in the form of cash credit facilities, overdraft, demand loans, and non-fund-based facilities, including bill discounting, letters of credit, and guarantees.
The company also provides financing by way of investment in marketable instruments, such as fixed rate and floating rate debentures. The company generally has a security interest on the fixed assets of the borrower, although some of the company's financing is extended on an unsecured basis.
Fee and Commission-Based Activities
The company generates fee income through its lending, transaction banking, syndication, and foreign exchange related solutions provided to corporate customers. The company also offers corporate customers a wide variety of fee and commission-based products and services, including documentary credits, standby letters of credit (called guarantees in India), collection and payment of export/import bills, and cash management services, including collection, payment, and remittance services.
Further, the company is one of the banks designated by the Reserve Bank of India for issuing approvals to non-resident Indians and overseas corporate bodies to trade in shares and convertible debentures on the Indian stock exchanges and operating their banking and custody accounts. The company also offers services, such as escrow, trust and retention account facilities, online payment facilities, custodial services, and tax filing and collection services on behalf of the Government of India and the governments of Indian states.
As a registered depositary participant of National Securities Depository Limited and Central Depository Services (India) Limited, the two securities depositaries operating in India, the company also provides electronic depositary facilities to investors.
Corporate Deposits
The company offers a variety of deposit products to corporate customers, including current accounts, time deposits, and certificates of deposits. For more information on the type, cost, and maturity profile of the company's deposits.
Foreign Exchange, Fixed Income, Bullion, and Derivatives
The company provides customer-specific products and services, which cater to the fund-raising, foreign exchange conversion, and risk hedging needs of a varied set of customers at domestic and international locations, arising out of their foreign exchange and interest rate exposures.
The products and services include:
Foreign Exchange Products
Products include cash, tom, and spot transactions for foreign exchange conversion in more than 26 currencies. The company offers customized foreign exchange solutions through online and offline dealing channels to clients, on the basis of their business needs. These products are offered in India and across the company's international locations.
Fixed Income Products
Products include Commercial Papers (CPs) and Non-Convertible Debentures (NCDs) for market-based fund-raising requirements of clients. The company offers end-to-end service from origination to distribution, matching issuer and investor needs through suitable structuring of issuances.
Bullion Products
Products include Gold Metal Loan (GML) and Consignment of Gold and Silver for the gold/silver procurement requirements of clients. The company offers market-leading service through a digital journey from order placement to order fulfilment.
Derivatives
Products include forwards, options, and swaps across permitted asset classes to meet the risk hedging needs of clients. The company offers customized derivative solutions to match the specific risk profile of clients and their risk exposures.
Commercial Banking for Government and Institutions
The company provides a range of banking services, including customized products and services for enhancing e-governance and financial management to government departments and bodies across various levels, such as central, state, district, and local bodies, which include municipalities and gram panchayats. The company is nominated agents by the relevant government for collection of central taxes, state taxes, goods and services tax payments, and custom duty through authorized branches and digital channels. The company's integrated banking platforms provide simple online tax payment options to customers. Statutory payments can also be made online through the company's platforms.
The company also provides financial services to other institutions, including educational institutions, hospitals, and cooperative societies, among others, and offers a range of technology-driven collections and payment solutions.
Commercial Banking for International Customers
The overseas offices of the company complement the India business centers by providing coverage and service to Non-Resident Indians (NRI) and India-linked businesses. These overseas offices focus on four key pillars: non-resident Indians, multinational corporations, and global capability centers operating in India, institutional investment flows into India, and India-linked crossborder trade. Further, the company's overseas banking subsidiaries continue to serve local markets selectively with a focus on risk mitigation and granularity of business.
Many of the products that the company offers through its overseas branches and subsidiaries, as well as to international customers from its domestic network, such as debt financing, trade finance, and letters of credit, are similar to the products offered to customers in India. The Reserve Bank of India, vide its ‘frequently asked questions’ notification dated June 23, 2026, has permitted Indian banks, including their overseas branches, to extend loans to a non-resident or issue a ‘stand-by letter of credit’ in favor of overseas lenders against FCNR(B) deposits mobilized on swap facility. The banks are also permitted to extend loans to the FCNR (B) account holders and mark lien on such deposits.
The company's subsidiaries in the United Kingdom and Canada are full-service banks offering retail, business banking, corporate banking, and treasury services. These subsidiaries provide services to their customers through branch banking and digital channels, including internet and mobile banking. The company's subsidiary in the United Kingdom is primarily focused on India-linked business in the United Kingdom and Europe, and towards meeting the banking needs of the Indian community. The core services include meeting local banking requirements, remittance services to India, and facilitating banking requirements in India. The company's subsidiary in Canada originates residential mortgages, primarily insured and qualifying for insurance by either the Canadian federal government agency or insurance companies backstopped by the Canadian federal government, and offers loans to both Canadian and U.S. corporations, as well as Indian corporations seeking to develop their business overseas.
At year-end fiscal 2026, ICICI Bank UK PLC (ICICI Bank UK) had branches in the United Kingdom and a branch in Germany.
Branch and ATM Network and Call Centers
The company delivers products and services through a variety of channels, ranging from traditional bank branches to ATMs, cash recycler machines, and call centers. In addition, the company's digital channels and platforms have become increasingly important to customers. At year-end fiscal 2026, the company had a network of several branches across several Indian states. The branch network serves as an integrated channel for deposit mobilization and selected retail asset origination. The company's focus is to digitize a maximum number of processes and other touch points for customer experience in order to enhance customer engagement time for solutions. Digital services kiosks are deployed in branches with higher number of customer visits. This allows customers to use banking services, like cheque deposit, get quick account credit, update passbook, transfer funds instantly, and various other do-it-yourself digital services, which help reduce customer wait time.
The company has ATMs and cash recycler machines across India. The company's ATMs have additional value added services, such as instant fund transfer, cardless cash withdrawal.
The company's phone banking is operational around the clock across multiple locations. Phone banking is equipped with interactive voice response systems, email bot solution, voice biometric authentications, automatic call distribution, telephony integration, and voice recorders. The company seeks to use phone banking technology to provide an integrated view of customer information to the agents to get a complete overview of the customer’s relationship with the company. The company has implemented a customer relationship management solution to capture customer service requests/grievance for all key banking products. This has been deployed across all channels in the company and helps in tracking and timely resolution of various customer requests or issues. The solution has been deployed in phone banking, as well as at a large number of branches.
Investment Banking
The company's investment banking operations principally consist of ICICI Bank’s treasury operations and the operations of ICICI Securities Primary Dealership Limited and of ICICI Securities Limited.
Treasury
Through the company's treasury operations, it seeks to manage its balance sheet, including the maintenance of required regulatory reserves, and to optimize profits from its trading portfolio by taking advantage of market opportunities. The company's domestic trading and securities portfolio includes its regulatory reserve portfolio, as there is no restriction on active management of the company's regulatory reserve portfolio. The company's treasury operations include a range of products and services for corporate and small enterprise customers, such as forward contracts and interest rate and currency swaps, and foreign exchange products and services.
The company's treasury undertakes liquidity management by seeking to maintain an optimum level of liquidity, complying with the cash reserve ratio requirement, and seeking to maintain the smooth functioning of all branches. The company maintains a balance between interest-earning liquid assets and cash to optimize earnings, and undertakes reserve management by maintaining statutory reserves, including the cash reserve ratio and the statutory liquidity ratio. At year-end fiscal 2026, the company was required to maintain the statutory liquidity ratio requirement percentage at 18.0% of its domestic net demand and time liabilities by way of approved securities, such as Government of India securities and state government securities. The company maintains the statutory liquidity ratio through a portfolio of government of India securities that it actively manages to optimize the yield and benefit from price movements. Further, as a prudent liquidity management strategy, the company generally maintains excess investments in securities eligible for classification under the statutory liquidity ratio requirement. The company maintains the LCR and NSFR, as required under Basel III, both on a standalone basis and at ICICI group level.
ICICI Bank engages in investments and foreign exchange operations from Mumbai and overseas branches. As a part of its treasury activities, the company also maintains proprietary trading portfolios in domestic debt and equity securities and in foreign currency assets. The company's treasury manages its foreign currency exposures and the foreign exchange and risk hedging derivative products offered to customers, and engages in market making and proprietary trading in currency and interest rate markets. The company's investment and market risk policies are approved by the Board.
In general, the company pursues a strategy of active management of its equity portfolio to maximize its return on investment.
The company deals in several major foreign currencies and takes deposits from non-resident Indians in major foreign currencies. The company also manages onshore accounts in foreign currencies. The company's foreign exchange treasury manages its portfolio through money market and foreign exchange instruments to optimize yield and liquidity.
The company provides a variety of risk management solutions to clients, including foreign currency forward contracts, currency and interest rate swaps, and options. The company monitors and controls the market risk and credit risk on its foreign exchange portfolio through counterparty limits, position limits, stop-loss limits, and limits on the loss of the entire foreign exchange trading operations and exception reporting.
Securities Brokerage and Investment Banking
ICICI Securities Limited is a financial services company operating across capital market segments, including retail and institutional equity, financial product distribution, private wealth management, and investment banking. ICICI Securities Limited has an online securities platform—ICICI Direct. ICICI Securities Limited assists customers, like retail investors, corporates, financial institutions, and high net worth individuals in meeting their financial goals by providing them with research, advisory, and execution services. ICICI Securities Limited has a subsidiary in the United States, ICICI Securities Holdings Inc., which in turn has a subsidiary in the United States, ICICI Securities Inc., which is registered as a broker-dealer with the Securities and Exchange Commission and is a member of the Financial Industry Regulatory Authority in the United States. ICICI Securities Inc. also has a branch office in Singapore that is registered with the Monetary Authority of Singapore, where it holds a capital markets services license for dealing in capital market products in Singapore.
Primary Dealership
The company's subsidiary ICICI Securities Primary Dealership Limited is engaged in the primary dealership of Indian government securities. It also deals in other fixed income securities and interest rate derivatives. In addition to this, it also undertakes money market operations, underwriting, and placement of debt.
I-Process Services
I-Process Services (India) Limited (formerly known as I-Process Services (India) Private Limited) (iProcess) has a service provider agreement only with the company to provide manpower-based support services across sales, marketing, data entry, operations, and collection functions. At March 31, 2023, the company held 19.0% of the shareholding in iProcess. During fiscal 2024, the company purchased the remaining equity shares of iProcess and, consequently, iProcess became a wholly-owned subsidiary of the company effective March 22, 2024.
Private Equity
The company's subsidiary ICICI Venture Funds Management Company Limited is a diversified specialist alternative asset manager with a presence across private equity, venture capital, real estate, infrastructure, and special situations.
Asset Management
The company provides asset management services through its subsidiary, ICICI Prudential Asset Management Company Limited. ICICI Prudential Asset Management Company Limited is a joint venture with PCHL. The company had 53.0% interest in the entity, and PCHL owned 34.6% at March 31, 2026. ICICI Prudential Asset Management Company Limited also provides portfolio management services and advisory services to clients.
In February 2025, the company's joint venture partner, PCHL, made an announcement regarding a potential listing and partial divestment of its stake in ICICI Prudential Asset Management Company Limited, subject to market conditions, requisite approvals, and other considerations.
Pension Fund Manager
ICICI Pension Fund Management Limited (ICICI PFM) is a registered pension fund manager under the National Pension System. National Pension System is a voluntary defined contribution pension system administered and regulated by the Pension Funds Regulatory and Development Authority (PFRDA). PFRDA has also provided approval to ICICI PFM to a</t>
  </si>
  <si>
    <t>Retail banking</t>
  </si>
  <si>
    <t>Wholesale banking</t>
  </si>
  <si>
    <t>Treasury</t>
  </si>
  <si>
    <t>Other Banking</t>
  </si>
  <si>
    <t>Life insurance</t>
  </si>
  <si>
    <t>Industrial and Commercial Bank of China Limited (SEHK:1398)</t>
  </si>
  <si>
    <t>Industrial and Commercial Bank of China Limited</t>
  </si>
  <si>
    <t>Industrial and Commercial Bank of China Limited, together with its subsidiaries, provides banking products and services in the People's Republic of China and internationally. The company engages in corporate banking, personal banking, investment banking, and wealth management.
Business Segments
ICBC operates through several key business segments. These segments include Corporate Banking, Personal Banking, Treasury Operations, and Asset Management.
Corporate Banking
This segment focuses on providing financial services to corporate clients, including loans, credit, and treasury services.
Personal Banking
This segment offers a wide range of products, including savings accounts, personal loans, credit cards, and wealth management services.
Treasury Operations
This segment engages in managing the bank's cash flow, liquidity, and asset portfolio.
Asset Management
This segment provides investment advisory and portfolio management services, catering to both retail and institutional investors.
Business Strategy
The company plans to enhance its digital transformation by investing in innovative fintech solutions that streamline operations and improve the customer experience. Consequently, the company aims to leverage technology to meet the rising demand for digital banking services and to optimize its risk management framework.
Furthermore, the company's strategy emphasizes the deepening of its customer segments by building stronger relationships with clients through personalized services. By capitalizing on data analytics and customer feedback, the company forecasts future needs, enabling it to develop targeted financial products that resonate with its clients.
Additionally, the company's commitment to sustainability plays a crucial role in its strategic roadmap. The company promotes responsible financing and invests in socially responsible projects, ensuring long-term value creation for stakeholders and contributing to the environment and society at large.
Products and Services
ICBC offers a diverse array of financial products aimed at individual and corporate clients.
In Corporate Banking, it provides customized lending solutions, credit facilities, structured financing, cash management services, and trade finance products. The focus is on catering to various industries, including manufacturing, energy, and technology.
In Personal Banking, the portfolio encompasses savings and deposit accounts, personal loans, mortgages, auto loans, and a variety of credit card options. Wealth management services include retirement planning, insurance products, investment advisory, and mutual funds.
Treasury and Financial Market Services focuses on facilitating investments, managing risks associated with currency fluctuations and interest rates while providing liquidity management and trading in securities.
Geographical Markets Served
ICBC operates extensively across both domestic and international markets.
Seasonality
ICBC's operations are subject to seasonal trends, primarily influenced by economic cycles and market demands. The company actively manages these seasonal impacts by adjusting its marketing strategies and operational resources to meet customer demands effectively throughout the year.
Customers
ICBC serves a diverse customer base comprising millions of individual and corporate clients. Catering to various categories—from large corporations and SMEs to individual consumers—the bank focuses on creating tailored solutions that address the unique needs of its clients.
Sales and Marketing
The company employs a multi-channel approach to marketing and distribution. Direct sales efforts are complemented by digital marketing campaigns, promoting its services through online platforms alongside traditional marketing avenues. The company emphasizes building strong relationships with its customers to foster loyalty and ensure satisfaction.
History
Industrial and Commercial Bank of China Limited was founded in 1984. The company was incorporated in 1984.</t>
  </si>
  <si>
    <t>Unallocated Assets</t>
  </si>
  <si>
    <t>Macquarie Group Limited (ASX:MQG)</t>
  </si>
  <si>
    <t>Macquarie Group Limited</t>
  </si>
  <si>
    <t>Macquarie Group Limited provides financial services with extensive operations in investment banking, asset management, advisory and risk management, and financial markets.
Business Segments
The company operates through several key business segments that encapsulate its diverse service offerings. These segments are designed to cater to a variety of client needs and to leverage the strengths inherent within each operational area.
Macquarie Asset Management (MAM)
This segment provides investment solutions to institutions, governments, and retail clients across various asset classes including equities, fixed income, infrastructure, and real estate. MAM focuses on delivering value through strong investment performance while adhering to rigorous risk management practices. The segment encompasses a range of strategies, from direct investment in assets to fund management services, contributing significantly to the company’s overall portfolio.
Macquarie Capital
This segment features advisory services, capital raising, and development project financing. This segment specializes in mergers and acquisitions, public offerings, and private placements. Additionally, it offers market-leading expertise in sectors such as infrastructure, energy, and technology, facilitating strategic partnerships and enabling clients to achieve their financial objectives effectively.
Macquarie Commodities and Global Markets (CGM)
This segment serves clients in the agriculture, energy, and metals sectors. It provides comprehensive risk management solutions alongside market intelligence and trading services. The CGM team is focused on delivering bespoke solutions in commodity markets, addressing the evolving needs of clients through hedging strategies and market analysis.
Macquarie Banking and Financial Services (MBFS)
This segment offers personal banking services and provides a range of financial products to retail clients. This segment includes mortgages, personal loans, financial planning, and investment services. It aims to deliver exceptional customer service while harnessing technology to enhance client engagement and streamline service delivery.
Corporate and Asset Financing
This segment includes specialized financing solutions, offering tailored credit and leasing solutions to clients across various sectors. The focus is on providing strategic financial support to companies, empowering them to achieve their growth strategies effectively.
Business Strategy
The company is committed to maintaining a disciplined approach to growth, anchored in a philosophy of delivering value to clients and stakeholders.
Client-Centric Focus: The company prioritizes understanding client needs and delivering tailored solutions that cater to those requirements. Building enduring client relationships is paramount, and the company employs a consultative approach to ensure that the proposed services align with client goals.
Innovation and Technology: Embracing technological advancements is a cornerstone of the company's strategy. By investing in advanced analytics, digital platforms, and automated tools, it aims to provide clients with superior service. The focus on innovation also extends to product development, where the company seeks to anticipate market trends and respond proactively.
Global Diversification: By maintaining a presence in multiple markets, the company capitalizes on global economic opportunities while mitigating risks associated with local market fluctuations. This diversification allows the company to adapt strategies based on regional dynamics and client needs effectively.
Products and Services
The company offers a broad range of products and services designed to meet the diverse needs of its clients across various sectors. Each product is supported by a strong service infrastructure, ensuring that clients receive comprehensive and high-quality assistance.
Investment Management: The company provides investment management services across multiple asset classes. This includes portfolio management, fund management, and alternative investments such as private equity and infrastructure funds. Services are tailored to institutional investors, government entities, and retail clients aiming to achieve specific investment goals.
Advisory Services: The advisory arm encompasses strategic consultancy, M&amp;A advisory, and capital raising services. The company leverages its expertise to facilitate complex transactions, guiding clients through negotiations, structuring deals, and providing insights based on market conditions.
Risk Solutions: The company offers comprehensive risk management services, particularly within the commodities and financial markets sectors. Tailored hedging solutions and market analytics are designed to help clients navigate volatility and mitigate exposure to price fluctuations.
Financial Products: The company provides a suite of financial products, including personal loans, mortgages, and credit facilities. These offerings are designed to meet the individual needs of retail clients, providing flexible options for personal finance.
Infrastructure Financing: Infrastructure investment is a significant focus of the company's services. It engages in financing public and private infrastructure projects, providing capital solutions and investment management designed to support economic development.
In addition to these primary offerings, the company is committed to delivering ongoing client support through its extensive resources, including research, market analysis, and technological platforms designed to enhance client engagement.
Geographical Markets Served
The company maintains a global footprint, serving clients in various regions, including Australia, North America, Europe, and Asia-Pacific.
Australia: The company’s home market remains vital to its operations, with a strong infrastructure and investment presence. It develops local relationships and leverages knowledge of market dynamics to deliver tailored solutions.
North America: In the U.S. and Canada, the company has established a significant presence across multiple sectors. Services offered include investment banking, financial advisory, and asset management tailored to local market needs.
Europe: The company operates across several European countries, focusing on investment management and advisory services. The strategic location in Europe positions it to engage with various sectors, offering solutions that meet diverse regulatory landscapes.
Asia-Pacific: The company has expanded aggressively in the Asia-Pacific region, establishing operations in key markets such as India, Japan, and China. This expansion aims to capture growth opportunities in emerging economies while offering competitive financial products.
This geographical breadth enables the company to leverage regional insights, optimize its services based on local demand, and respond swiftly to global economic trends.
Acquisitions
The company has strategically acquired several businesses and subsidiaries that enhance its core operations and extend its market reach. Notable acquisitions in 2024 include Camin Cargo Control Holdings, Inc., Adept Technology Group, and Fidus Information Security Limited.
Disposals
On 31 March 2024, the company also undertook significant disposals during the same fiscal year. Key disposals included subsidiaries such as Camin Cargo Control Holdings, Inc., and Treaty Oak Clean Energy, among others. These divestitures are part of the company's strategy to streamline operations, refocus on core business areas, and unlock value for stakeholders.
Seasonality
The company’s operations are influenced by seasonal trends, which can affect various aspects of its business. Market conditions, client behaviors, and economic cycles contribute to fluctuations in performance throughout the year.
Financial Market Dynamics: Financial markets often demonstrate seasonal patterns, with certain periods seeing heightened activity around financial reporting, fiscal year-end, and significant economic events. These dynamics can impact the timing and volume of transactions, particularly in investment banking and trading operations.
Retail Banking Trends: In the retail banking segment, it is common for customer activity to peak during certain times of the year, such as holiday seasons when borrowing may increase due to holiday spending. The company adjusts its marketing and resource allocation strategies to accommodate these seasonal trends.
Investment and Asset Management: The asset management segment may experience seasonality tied to client behavior, performance reporting cycles, and fundraising efforts. Consequently, certain quarters may see increased inflows and performance materials reflecting broader market trends.
The company actively prepares for these seasonal dynamics by analyzing market patterns and adjusting its strategies accordingly to optimize service delivery and maintain client satisfaction.
Customers
The company serves a diverse customer base that spans various sectors and regions, reflecting its comprehensive product offerings. The clientele includes individuals, corporations, governments, and institutions—each requiring customized financial solutions.
Corporate Clients: The company caters to a significant number of corporate clients across various industries, including energy, infrastructure, technology, and agriculture. These corporate clients utilize a range of services from investment banking to risk management.
Institutional Investors: A considerable portion of the customer base consists of institutional investors such as pension funds, sovereign wealth funds, and endowments. The company provides tailored asset management solutions designed to meet the unique objectives of these entities.
Retail Clients: Individual customers receive personalized banking and financial services, including loans, mortgages, and investment products. The company aims to enhance client experience through technology and customer service initiatives.
Governments and Public Entities: Engaging with government bodies and public institutions is also a critical facet of the company’s operations. These clients often seek advisory services and funding solutions for infrastructure and development projects.
In summary, the company serves a broad spectrum of customers, leveraging its expertise to deliver tailored financial solutions across various sectors. 
Sales and Marketing
The company employs diverse marketing and distribution channels to effectively reach its customers and promote its wide array of financial products and services.
Direct Marketing: The company uses direct marketing strategies to engage clients, leveraging personalized outreach and targeted campaigns designed to resonate with specific customer needs and preferences.
Digital Marketing: The rise of digital platforms has transformed the company’s marketing approach, with an increased focus on online advertising, social media engagement, and content marketing. Through digital channels, it aims to enhance visibility, generate leads, and improve user engagement.
Partnerships and Alliances: The company often collaborates with financial institutions and partners to expand its distribution network and access new client segments. Strategic alliances enable it to offer complementary services, enhancing product offerings.
Events and Conferences: The company participates in industry events and conferences, utilizing these platforms to showcase expertise, network with potential clients, and establish thought leadership within the financial services sector.
By leveraging multiple modes of marketing, the company enhances its reach and effectiveness in delivering financial solutions tailored to diverse customer segments.
History
Macquarie Group Limited was founded in 1969.</t>
  </si>
  <si>
    <t>Financials; Financial Services; Capital Markets; Diversified Capital Markets</t>
  </si>
  <si>
    <t>Financial Services</t>
  </si>
  <si>
    <t>Capital Markets</t>
  </si>
  <si>
    <t>Diversified Capital Markets</t>
  </si>
  <si>
    <t>Macquarie Asset Management</t>
  </si>
  <si>
    <t>Banking and Financial Services</t>
  </si>
  <si>
    <t>Commodities and Global Markets</t>
  </si>
  <si>
    <t>Macquarie Capital</t>
  </si>
  <si>
    <t>Corporate</t>
  </si>
  <si>
    <t>MediaTek Inc. (TWSE:2454)</t>
  </si>
  <si>
    <t>MediaTek Inc.</t>
  </si>
  <si>
    <t>Information Technology; Semiconductors and Semiconductor Equipment; Semiconductors and Semiconductor Equipment; Semiconductors; Digital; Logic Devices; Microcontroller</t>
  </si>
  <si>
    <t>Semiconductors and Semiconductor Equipment</t>
  </si>
  <si>
    <t>Semiconductors</t>
  </si>
  <si>
    <t>Multimedia and Mobile Phone Chips and Other Integrated Circuit Design Products</t>
  </si>
  <si>
    <t>National Australia Bank Limited (ASX:NAB)</t>
  </si>
  <si>
    <t>National Australia Bank Limited</t>
  </si>
  <si>
    <t>National Australia Bank Limited provides financial services to individuals and businesses in Australia, New Zealand, and internationally. The company provides about 10 million customers with secure, easy and reliable banking services. 
The company focuses on priority small and medium (SME) customer segments. This includes diversified businesses, as well as specialised Agriculture, Health, Professional Services, Franchisees, Government, Education and Community service segments, along with Private Banking and JBWere.
The company works to deepen relationships with business customers as a trusted advisor in a dynamic economic environment. The company helps customers secure a home loan and manage personal finances through deposits, credit card or personal loan facilities. It includes the Citi consumer business, acquired in 2022. 
In 2023, the company introduced a number of new initiatives to help protect customers from scams and fraud including removing links in text messages, increasing prompts for in-app payments and improved card features to block transactions.
The company serves more than 1.2 million customers across New Zealand with personal and business banking services, through a nationwide network of customer centres, digital and assisted channels. It is New Zealand's largest business bank, one of the largest providers of agricultural financing and has continued to gain market share in personal and business segments.
Strategy
The company's strategic focus is on clear market leadership for Business and Private Banking; simple and digital experiences for Personal Banking; disciplined growth for Corporate and Institutional Banking; personal and SME growth for BNZ, and digital customer acquisition through ubank.
Customers
The company serves customers well is a core part of its strategy. In 2023, the company has provided customers with financial support on 15,354 accounts.
The NAB Assist Customer Support Hub supported 2,635 customers experiencing vulnerability including domestic and family violence, scams, financial abuse, problem gambling and other challenging circumstances.
Segments
Business and Private Banking: This segment focuses on the company's priority small and medium (SME) customer segments. This includes diversified businesses, as well as specialised Agriculture, Health, Professional Services, Franchisees, Government, Education and Community service segments along with Private Banking and JBWere.
Personal Banking: This segment provides banking products and services to customers including securing a home loan and managing personal finances through deposits, credit card or personal loan facilities. Customers are supported through a network of branches and ATMs, call centres, digital capabilities as well as through proprietary lenders and mortgage brokers. Personal Banking results include the financial performance of the Citi consumer business, acquired effective 1 June 2022.
Corporate and Institutional Banking: This segment provides a range of products and services including client coverage, corporate finance, markets, asset servicing, transactional banking and enterprise payments. The division serves its customers across Australia, the United States, Europe and Asia, with specialised industry relationships and product teams. It includes Bank of New Zealand's Markets Trading operations.
New Zealand Banking: This segment provides banking and financial services across customer segments in New Zealand. It consists of Partnership Banking servicing retail, business and private customers; Corporate and Institutional Banking servicing corporate and institutional customers, and includes Markets Sales operations in New Zealand. New Zealand Banking also includes the Wealth franchise operating under the 'Bank of New Zealand' brand. It excludes the Bank of New Zealand's Markets Trading operations. New Zealand Banking results include the financial performance of the New Zealand liquidity management portfolio, effective 1 October 2022.
Corporate Functions and Other: This segment include ubank and enabling units that support all businesses, including Treasury, Technology and Enterprise Operations, Digital, Data and Analytics, Support Units and eliminations.
Geographical information
The company has operations in Australia, New Zealand, Europe, the United States and Asia.
Deposits
The company's deposits include term deposits, on-demand and short-term deposits, certificates of deposit, and deposits not bearing interest.
Investment Portfolio
The company's investment portfolio includes government bonds, notes and securities, semi-government bonds, notes and securities, corporate / financial institution bonds, notes and securities, and other bonds, notes and securities.
Regulations
The company is subject to a commitment in accordance with the rules governing clearing and settlement arrangements contained in the Australian Payments Network Regulations for the Australian Paper Clearing System, the Bulk Electronic Clearing System, the Consumer Electronic Clearing System and the High Value Clearing System. The company also has a commitment in accordance with the Austraclear System Regulations and the Continuous Linked Settlement Bank Rules to participate in loss-sharing arrangements in the event that another financial institution fails to settle. The company is a member of various central clearing houses, most notably the London Clearing House (LCH) SwapClear and RepoClear platforms and the ASX Over-The-Counter Central Counterparty, which enables the Group to centrally clear derivative and repurchase agreement instruments respectively.
History
National Australia Bank Limited was founded in 1834. The company was incorporated in 1893.</t>
  </si>
  <si>
    <t>Business and Private Banking</t>
  </si>
  <si>
    <t>Corporate and Institutional Banking</t>
  </si>
  <si>
    <t>New Zealand Banking</t>
  </si>
  <si>
    <t>Corporate Functions and Other</t>
  </si>
  <si>
    <t>Oversea-Chinese Banking Corporation Limited (SGX:O39)</t>
  </si>
  <si>
    <t>Oversea-Chinese Banking Corporation Limited</t>
  </si>
  <si>
    <t>Oversea-Chinese Banking Corporation Limited engages in the provision of financial services in Singapore, Malaysia, Indonesia, Greater China, rest of the Asia Pacific, and internationally.
OCBC Bank and its subsidiaries offer a broad array of commercial banking, specialist financial and wealth management services, ranging from consumer, corporate, investment, private and transaction banking to treasury, insurance, asset management and stockbroking services.
OCBC Bank's key markets are Singapore, Malaysia, Indonesia and Greater China. It has branches and representative offices in 19 countries and regions. These include branches and offices in Indonesia under subsidiary PT Bank OCBC NISP Tbk, and branches and offices in Mainland China, Hong Kong SAR and Macau SAR under OCBC Wing Hang. OCBC Bank's private banking services are provided by its wholly-owned subsidiary, Bank of Singapore.
OCBC Bank's insurance subsidiary, Great Eastern Holdings, is the oldest and most established life insurance group in Singapore and Malaysia. Its asset management subsidiary, Lion Global Investors, is one of the largest private sector asset management companies in Southeast Asia.
The company offers various deposits, such as fixed deposits, savings deposits, term deposits, current accounts, structured deposits, certificates of deposit and other deposits.
Business Segments
The company operates through Global Consumer/Private Banking, Global Wholesale Banking, Global Treasury and Markets, Insurance, and Others segments.
Global Consumer/Private Banking
This segment provides a full range of products and services to individual customers. At Global Consumer Banking, the products and services offered include deposit products (checking accounts, savings and fixed deposits), consumer loans (housing loans and other personal loans), credit cards, wealth management products (unit trusts, bancassurance products and structured deposits) and brokerage services. Private Banking caters to the specialized banking needs of high net worth individuals, offering wealth management expertise, including investment advice and portfolio management services, estate and trust planning, and wealth structuring.
Global Wholesale Banking
Global Wholesale Banking serves institutional customers ranging from large corporates and the public sector to small and medium enterprises. The business provides a full range of financing solutions, including long-term project financing, short-term credit, working capital and trade financing, as well as customized and structured equity-linked financing. It also provides customers with a broad range of products and services, such as cash management and custodian services, capital market solutions, corporate finance services and advisory banking, and treasury products.
Global Treasury and Markets
This segment is responsible for the management of the Group's asset and liability interest rate positions, engages in foreign exchange activities, money market operations, fixed income and derivatives trading, and offers structured treasury products and financial solutions to meet customers' investment and hedging needs. Income from treasury products and services offered to customers in Global Consumer/Private Banking and Global Wholesale Banking, is reflected in the respective business segments.
Insurance
This segment includes its fund management activities, is undertaken by 87.9%-owned subsidiary Great Eastern Holdings' (GEH) and its subsidiaries, which provide both life and general insurance products to its customers mainly in Singapore and Malaysia.
Others
This segment comprises mainly property holding and investment holding.
History
Oversea-Chinese Banking Corporation Limited was founded in 1912. The company was incorporated in 1931.</t>
  </si>
  <si>
    <t>Global Wholesale Banking</t>
  </si>
  <si>
    <t>Global Consumer/Private Banking</t>
  </si>
  <si>
    <t>Global Markets</t>
  </si>
  <si>
    <t>Reliance Industries Limited (NSEI:RELIANCE)</t>
  </si>
  <si>
    <t>Reliance Industries Limited</t>
  </si>
  <si>
    <t>Reliance Industries Limited engages in petrochemicals, refining, oil, telecommunications, and retail. It plays a pivotal role in the Indian economy as it is involved in the production of a wide range of products that contribute to the overall industrial and consumer landscape of the country. Reliance is recognized for its strong commitment to innovation, excellence in operations, and a sustainable future.
Business Segments
The company operates through several key business segments that are integral to its overall operations:
Oil to Chemicals (O2C): This segment includes refining, petrochemicals, and associated services including the production of aviation fuel and bulk wholesale marketing. The O2C segment features a broad portfolio, spanning various products such as transportation fuels, polymers, polyesters, and elastomers. The company’s O2C business demonstrates deep integration with world-class assets that consist of Refinery Off-Gas Cracker, Aromatics, Gasification, and multi-feed cracker facilities, alongside extensive downstream manufacturing plants and logistics and supply chain frameworks. The robust infrastructure allows the company to maintain a competitive edge in the market.
Oil and Gas: The oil and gas segment covers the exploration, development, and production of crude oil and natural gas. The company has established a portfolio of significant oil fields and is focused on efficient resource extraction and maximizing production output.
Retail: Reliance's retail segment is dedicated to consumer retailing and a wide range of related services, encompassing grocery, fashion, electronics, and more. The company is continuously expanding its presence across urban and rural geographies, offering innovative retail formats that cater to various consumer needs.
Digital Services: The digital services segment involves providing a range of digital solutions including telecommunications through Jio, which has rapidly gained subscriber acceptance and transformed the consumer internet experience in India. The company focuses on advancing connectivity and expanding service offerings in this digital arena.
Others: All other business segments which are not separately reportable are grouped under the Others segment. This includes various investment and infrastructure activities that further support the company’s business diversity.
Business Strategy
The company focuses on sustaining its competitive advantage through an innovative and adaptive business strategy aimed at expanding its market share across its diverse business segments. The company emphasizes investment in technology and infrastructure to enhance operational efficiency and meet evolving consumer preferences. Through increasing R&amp;D efforts, the company ensures that it stays ahead in product offerings and service delivery.
Additionally, the company implements strategies to enhance customer engagement and build brand loyalty through personalized service experiences. An important aspect of the company’s strategy is the commitment to sustainability and corporate responsibility, addressing environmental concerns while driving growth. The company’s strategic vision includes expanding its digital services and e-commerce presence, which has been notably accelerated by the pandemic-related shifts in consumer behavior towards online shopping.
Products and Services**
The company offers a diverse range of products and services across its segments:
Oil to Chemicals: The petrochemical products include a variety of polymers, intermediates, and specialty chemicals utilized in numerous industries such as textiles, automotive, agriculture, and more. The refining operations convert crude oil into essential fuels and chemical products, forming the backbone of the energy sector.
Oil and Gas: The company is engaged in the exploration and production of crude oil and natural gas, significantly contributing to energy independence and consumption in India.
Retail: The retail segment encompasses a wide range of consumer goods including food and groceries, electronics, apparel, and household items. Innovative formats like hypermarkets, convenience stores, and an online shopping platform under JioMart are significant offerings in this space.
Digital Services: The telecommunications arm provides comprehensive broadband services, mobile services, and digital content across India, facilitated through a robust network infrastructure. Digital offerings include data services, entertainment platforms, and business communication solutions.
Geographical Markets
The company operates extensively in the Indian market but has also made inroads into international markets. Strategic acquisitions are part of its growth strategy, allowing the company to enter new geographical areas and enhance its market footprint. The company recently acquired Ravalgaon IP rights, showcasing its focus on expanding its product range and market reach. The partnership with the Sri Lankan beverage maker Elephant House is another example of how the company aims to leverage reciprocal rights to build a stronger presence in regional markets.
Seasonality
The company experiences seasonality in various segments, especially the retail sector. Different festivals and seasonal buying patterns significantly influence consumer behavior, leading to variations in sales cycles. Certain product categories, particularly food and beverages, see spikes in demand during festive seasons, while other products might experience steady demand throughout the year. This seasonality requires the company to proactively manage inventory and supply chain processes to meet fluctuating demand effectively.
Customers
The company serves a vast and diverse customer base across various segments. In the retail space, the customer categories range from individual consumers shopping for everyday essentials to large institutional clients. The digital services segment caters to a wide range of telecommunications users, including urban and rural subscribers, enhancing connectivity across demographic lines. 
The oil and gas segment provides resources to numerous industries, contributing to a significant industrial client base reliant on its products. The diversity of customers ensures a broad market presence, aiding in comprehensive growth across its operational areas.
Sales and Marketing
The company employs multiple sales and marketing strategies tailored to its diverse product categories. The retail segment utilizes direct and digital marketing approaches to enhance consumer engagement and drive sales. E-commerce platforms like JioMart complement traditional retail channels, allowing for broader market penetration.
Distribution channels reflect a sophisticated network designed to reach urban and rural consumers effectively, thereby enhancing supply chain efficiency. Partnering with local businesses and utilizing logistics infrastructure ensures product availability aligns with market demand.
History
Reliance Industries Limited was founded in 1957. The company was incorporated in 1973.</t>
  </si>
  <si>
    <t>Energy; Energy; Oil, Gas and Consumable Fuels; Oil and Gas Refining and Marketing; Oil and Gas Refining and Marketing; Petroleum and Petroleum Products; Crude Petroleum and Natural Gas; Gasoline; Natural Gas Liquids</t>
  </si>
  <si>
    <t>Energy</t>
  </si>
  <si>
    <t>Oil, Gas and Consumable Fuels</t>
  </si>
  <si>
    <t>Oil and Gas Refining and Marketing</t>
  </si>
  <si>
    <t>Oil to Chemicals (O2C)</t>
  </si>
  <si>
    <t>Oil and Gas</t>
  </si>
  <si>
    <t>Retail</t>
  </si>
  <si>
    <t>Digital Services</t>
  </si>
  <si>
    <t>Samsung Electro-Mechanics Co., Ltd. (KOSE:A009150)</t>
  </si>
  <si>
    <t>Samsung Electro-Mechanics Co., Ltd.</t>
  </si>
  <si>
    <t>Samsung Electro-Mechanics Co., Ltd. and subsidiaries engages in the electronics manufacturing sector. The company specializes in the production of a range of components, solutions, and services for various industries. The company operates in the fields of passive components, optics, communication modules, and semiconductor packaging, catering to both local and international markets. The company's products include Multi-layer Ceramic Capacitors (MLCC), inductors, chip resistors, camera modules, network modules, and semiconductor package substrates.
Business Segments
The company operates through three primary business segments that reflect its diverse product range and market strategies:
Component Segment
This segment focuses on passive electronic components, primarily MLCCs, inductors, and chip resistors. These components are essential in various electronic devices, including smartphones, computers, and automotive systems. The demand for these components is driven by the increasing miniaturization of electronic devices, as well as the growing use of consumer electronics and the Internet of Things (IoT) technology.
Optics &amp; Communication Solution Segment
This segment also specializes in the production of advanced optics and communication solutions, such as camera modules and network modules. With the rise of mobile photography and high-definition video recording, the demand for camera modules has significantly increased. The company's expertise in optics design and manufacturing plays a critical role in ensuring that its products meet the evolving needs of customers in various markets, including mobile devices and automotive applications.
Package Solution Segment
This segment includes semiconductor packaging solutions, which are essential for protecting and connecting integrated circuits within electronic devices. The packaging structures developed by the company are crucial for ensuring the longevity and functional integrity of semiconductor devices. As semiconductor technology advances, the company continuously adapts its packaging solutions to meet the requirements of next-generation electronics.
Business Strategy
The company has adopted a comprehensive business strategy focused on innovation, quality, and customer engagement. The company places significant emphasis on research and development (R&amp;D) to drive technological advancements and maintain competitiveness. R&amp;D has become essential to the company's strategy, allowing it to develop new products that address emerging market trends and consumer demands.
Furthermore, the company prioritizes quality assurance. By adhering to manufacturing standards and implementing rigorous quality control measures, the company ensures that its products exceed customer expectations.
The company's strategy also includes strengthening its distribution channels and expanding into new markets. By leveraging strategic partnerships and enhancing logistical capabilities, the company ensures that its products are accessible to customers globally. The targeted market expansion complements the company's ongoing quest to diversify its customer base and reduce reliance on specific segments or regions.
Products and Services
The company offers a variety of products and services tailored to meet the needs of various industries. The company’s flagship offerings include:
Passive Components: This category encompasses MLCCs, chip resistors, and inductors, which are critical for applications in consumer electronics, automotive, and industrial sectors. The company’s advanced manufacturing processes ensure high reliability and performance.
Camera Modules: The company produces sophisticated camera modules utilized in smartphones, tablets, and other consumer electronics. These modules are designed to provide high-resolution imaging and support features such as autofocus, optical zoom, and image stabilization.
Network Modules: The company offers communication solutions, including network modules that facilitate connectivity in various applications, ranging from mobile devices to smart home technologies.
Semiconductor Packaging Solutions: The company’s semiconductor packaging services provide secure and efficient encapsulation of integrated circuits, ensuring optimal performance and durability in electronic devices.
Geographical Markets Served
The company serves a global customer base with operations spanning various regions. Key geographical markets include:
Korea: As the home market, the company enjoys a strong presence, with significant sales attributed to local customers and subsidiaries, particularly Samsung Electronics.
China and Southeast Asia: The company has expanded its reach in these rapidly growing markets, catering to customers like Xiaomi and Apple, providing essential components and solutions that support the electronics manufacturing ecosystem.
Japan: Known for advanced technology adoption, the Japanese market serves as a vital region for passive components and communication solutions.
America: In North America, the company partners with major customers such as Intel and Dell, emphasizing semiconductor packaging and passive components tailored for high-performance applications.
Europe: The company continues to develop its presence in Europe, focusing on passive components and fostering relationships with key clients across various industries.
Seasonality
The company experiences a certain degree of seasonality in operations, primarily influenced by industry demand fluctuations, notably within the consumer electronics market.
Customers
Samsung Electro-Mechanics serves a diverse clientele, with key customers spanning multiple industries. Prominent customers include Samsung Electronics, Google, Amkor Technology, Dell, Intel, Xiaomi, and Apple
Sales and Marketing
The company employs a multi-channel approach to marketing and sales, utilizing both direct and indirect strategies. The company also invests in brand promotion and participates in industry exhibitions to enhance visibility and drive engagement.
History
The company was founded in 1973. It was incorporated in 1973. The company was formerly known as Samsung Electronic Parts Co., Ltd. and changed its name to Samsung Electro-Mechanics Co., Ltd. in 1987.</t>
  </si>
  <si>
    <t>Information Technology; Technology Hardware and Equipment; Electronic Equipment, Instruments and Components; Electronic Components; Electronic Components; Electronic Capacitors, Resistors and Diodes; Electronic Connectors; Microelectronics</t>
  </si>
  <si>
    <t>Component</t>
  </si>
  <si>
    <t>Package Solution</t>
  </si>
  <si>
    <t>Optics Solution</t>
  </si>
  <si>
    <t>Samsung Electronics Co., Ltd. (KOSE:A005930)</t>
  </si>
  <si>
    <t>Samsung Electronics Co., Ltd.</t>
  </si>
  <si>
    <t>Samsung Electronics Co., Ltd. engages in the consumer electronics, information technology and mobile communications, and device solutions businesses.
Business Segments
The company’s business segments are structured around its product lines, which are determined based on internal organization and revenue streams. The segments include DX, which focuses on consumer electronics and home appliances, and DS, which provides semiconductor solutions.
The SDC segment specializes in display technologies, while Harman offers automotive and audio solutions. The company’s segments are designed to leverage synergies across product lines and optimize resource allocation for competitive advantage.
Business Strategy
The company’s business strategy emphasizes innovation, quality, and customer satisfaction. The company focuses on developing cutting-edge technology to meet evolving consumer demands and enhance user experience. The company invests heavily in research and development to maintain leadership in key markets and drive product innovation.
The company’s strategy includes expanding its global presence while strengthening its brand reputation through sustainable practices and corporate social responsibility initiatives. By integrating advanced technologies and fostering strategic partnerships, the company aims to enhance operational efficiency and deliver superior value to stakeholders. The company’s commitment to sustainability and ethical business practices underpins its long-term growth strategy.
Products and Services
The company offers a diverse range of products and services across its business segments. In the DX division, the company provides a variety of consumer electronics, including televisions, refrigerators, and smartphones, designed to enhance everyday life.
The DS division focuses on semiconductor solutions, offers memory chips and foundry services that cater to various industries. The SDC specializes in display panels for televisions, smartphones, and other electronic devices, ensuring high-quality visual experiences.
Harman’s offerings include connected car systems and audio solutions, providing integrated technology for automotive and consumer markets. The company continually seeks to innovate and expand its product portfolio to meet the changing needs of consumers and businesses.
Geographical Markets Served
The company operates in several geographical markets, including Korea, America, Europe, Asia, and Africa.
Seasonality
The company experiences seasonality in its business operations, particularly in the consumer electronics segment. Sales typically peak during holiday seasons and major shopping events, influencing production and inventory management.
Customers
The company serves a diverse customer base across various industries and sectors. The company’s customer categories include individual consumers, businesses, and governmental organizations.
Sales and Marketing
The company employs a multi-channel approach to sales and marketing, utilizing both traditional and digital platforms to reach its target audience. Marketing strategies include advertising, promotions, and partnerships to enhance brand visibility and customer engagement. The company’s distribution channels are designed to optimize product availability and accessibility, ensuring a seamless purchasing experience for customers.
History
Samsung Electronics Co., Ltd. was founded in 1969. The company was incorporated in 1969.</t>
  </si>
  <si>
    <t>Information Technology; Technology Hardware and Equipment; Technology Hardware, Storage and Peripherals; Technology Hardware, Storage and Peripherals; Data Storage; Hard Drives; Personal Computers And Accessories; Printers; Wireless Telephone Equipment; Mobile Telephones</t>
  </si>
  <si>
    <t>Technology Hardware, Storage and Peripherals</t>
  </si>
  <si>
    <t>Harman</t>
  </si>
  <si>
    <t>Device Experience (DX)</t>
  </si>
  <si>
    <t>SDC</t>
  </si>
  <si>
    <t>Device Solutions (DS)</t>
  </si>
  <si>
    <t>Intersegment</t>
  </si>
  <si>
    <t>SK hynix Inc. (KOSE:A000660)</t>
  </si>
  <si>
    <t>SK hynix Inc.</t>
  </si>
  <si>
    <t>SK hynix Inc., together with its subsidiaries, engages in the manufacture, distribution, and sale of semiconductor products in Korea, China, rest of Asia, the United States, and Europe. It offers DRAM, NAND storage products, SSD, MCP, and CMOS image sensors, as well as Compute Express Link (CXL), which utilizes the peripheral component interconnect express interface that helps in increasing the efficiency of CPUs, GPUs, accelerators, and memory.
Business Segments
The company operates predominantly through a single reportable business segment dedicated to semiconductor manufacturing. This segment encompasses the entire value chain of semiconductor production, including design, manufacturing, and sales. The Chief Operating Decision Maker (CODM) for the company is the board of directors. The board evaluates results using reporting information prepared in alignment with the management's strategic objectives, particularly concerning the semiconductor sector.
Business Strategy
The company's strategic vision is anchored in innovation, efficiency, and market responsiveness. The emphasis on innovation drives continual investment in research and development to enhance product offerings and maintain competitive advantage in the fast-evolving semiconductor landscape. This is particularly critical given the rapid advancements in technology and the growing demand for higher capacity and more efficient memory solutions.
The company’s operations are intertwined with global trends such as the proliferation of AI, the Internet of Things (IoT), and cloud computing, all of which necessitate greater memory storage and processing power. To align with these trends, the company is committed to enhancing its manufacturing capabilities and expanding its product portfolio. The pursuit of operational efficiency is reflected in the company's investments in cutting-edge manufacturing technologies, which allow it to optimize production processes and reduce costs.
To sustain growth, the company actively pursues strategic partnerships and alliances within the semiconductor ecosystem. Such collaborations enable the company to leverage complementary technologies and market insights, enhancing its ability to respond to customer needs and competitive pressures effectively.
Products and Services
The company’s primary products include DRAM and NAND flash memory, which are integral to modern electronic devices. DRAM is widely used in computers, servers, and other devices that require fast, temporary data storage. NAND flash memory is pivotal in mobile devices, SSDs (solid-state drives), and various consumer electronics due to its non-volatile nature, allowing data retention without a power supply.
Additionally, the company invests in developing next-generation memory technologies that offer higher efficiency and performance. This includes advancements in 3D NAND technology, which allows for greater storage density and improved speed compared to traditional memory solutions. The company is also focusing on specialized memory solutions tailored for enterprise applications, data centers, and emerging technologies like AI and machine learning.
Geographical Markets Served
The company serves a diverse range of geographical markets, with significant operations in Korea, China, the United States, and Europe. The company's footprint in Korea remains robust, reflecting its foundational role in the semiconductor industry. The substantial investments in China highlight the strategic importance of the Asian market, which houses a vast customer base for consumer electronics and data centers.
Seasonality
The company's business experience is subject to seasonality, reflecting broader market trends within the semiconductor industry. Typically, demand for semiconductor products tends to peak during the back-to-school and holiday seasons, driven by increased consumer electronics sales. However, fluctuations in demand can occur due to economic conditions and technological shifts, prompting the company to adopt flexible production strategies to align with market dynamics.
Customers
The company caters to a diverse range of customers across various sectors, including consumer electronics, enterprise solutions, and technology providers. The company serves a broad base that encompasses both large multinationals and smaller enterprises. The diversification of customer categories minimizes risk whilst maximizing opportunities for growth across different market segments.
Sales and Marketing
The company engages in various sales and marketing strategies to reach its customers effectively. This includes direct sales channels, partnerships with technology providers, and participation in industry trade shows to showcase innovations. The marketing approach is tailored to address customer needs across different segments, ensuring that the company can leverage its strengths in both the consumer and enterprise markets.
History
The company was founded in 1949. The company was formerly known as Hynix Semiconductor Inc. and changed its name to SK hynix, Inc. in March 2012.</t>
  </si>
  <si>
    <t>Information Technology; Semiconductors and Semiconductor Equipment; Semiconductors and Semiconductor Equipment; Semiconductors; Digital; Memory Chips</t>
  </si>
  <si>
    <t>Manufacture and Sale of Semiconductor Products</t>
  </si>
  <si>
    <t>Taiwan Semiconductor Manufacturing Company Limited (TWSE:2330)</t>
  </si>
  <si>
    <t>Taiwan Semiconductor Manufacturing Company Limited</t>
  </si>
  <si>
    <t>Taiwan Semiconductor Manufacturing Company Limited manufactures semiconductors using the company’s manufacturing processes for the company’s customers based on proprietary integrated circuit designs provided by them.
The company offers a comprehensive range of wafer fabrication processes, including processes to manufacture complementary metal-oxide-semiconductor (‘CMOS’) logic, mixed-signal, radio frequency (‘RF’), embedded memory, bipolar complementary metal-oxide-semiconductor (‘BiCMOS’, which uses CMOS transistors in conjunction with bipolar junction transistor) mixed-signal and others. The company also offers design, mask making, TSMC 3DFabric advanced silicon stacking and packaging services, and testing services.
The company counts among its customers many of the world’s leading semiconductor companies, ranging from fabless semiconductor companies, system companies to integrated device manufacturers.
Semiconductor Manufacturing Capacity and Technology
The company manufactures semiconductors on silicon wafers based on proprietary circuitry designs provided by the company’s customers. Two key factors that characterize a foundry’s manufacturing capabilities are output capacity and fabrication process technologies. Since the company’s establishment, the company has built a strong position in manufacturing capacity as a dedicated foundry. The company is the technology leader among the dedicated foundries in terms of the company’s net revenue of advanced semiconductors of 7-nanometer and below and are one of the leaders in the semiconductor manufacturing industry for mainstream and specialty technologies. The company’s 2-nanometer technology entered volume production in 2025. Also, the development of the company’s 16-angstrom technology is on track, and its risk production is expected in 2026.
In 2025, the company’s annual capacity (in 12-inch equivalent wafers) exceeded 17 million wafers.
Markets and Customers
The company categorizes its net revenue mainly based on the countries where the company’s customers are headquartered, which may be different from the countries to which the company actually sells or ships its products or different from where products are actually ordered.
The company’s customer service and technical support managers work closely with the sales force to offer integrated services to customers.
Foundry Services
Range of Services
Because of the company’s ability to provide a full array of services, the company is able to accommodate customers with a variety of needs at every stage of the overall foundry process. The flexibility in input stages allows the company to cater to a variety of customers with different in-house capabilities and the company to service a wider class of customers as compared to a foundry that cannot offer design or mask making services, for example. As the company serves a large global customer base that entails a wide range of applications, such customer diversification helps to smooth fluctuations in demand.
Fabrication Processes
The company manufactures semiconductors mainly using the CMOS process. The CMOS process is the mainstream semiconductor manufacturing process. The company uses the CMOS process to manufacture logic semiconductors, mixed-signal/radio frequency semiconductors, which combine analog and digital circuitry in a single semiconductor, micro-electro-mechanical-systems (‘MEMS’), which combines micrometer featured mechanical parts, analog and digital circuitry in a single semiconductor, and embedded memory semiconductors, which combine logic and memory in a single semiconductor, etc.
Types of Semiconductors The company Manufactures
The company manufactures different types of semiconductors with different specific functions by changing the number and the combinations of conducting, insulating and semiconducting layers and by defining different patterns in which such layers are applied on the wafer. At any given point in time, there are thousands of different products in various stages of fabrication at the company’s fabs. The keys to maintaining high production quality and utilization rates are the company’s effective management and control of the manufacturing process technologies, which come from the company’s extensive experience as the longest existing dedicated foundry and the company’s dedication to quality control and process improvements. The company’s semiconductors are used for a variety of different platforms. The principal platforms include:
High Performance Computing (‘HPC’)
Driven by data explosion and AI application innovation, HPC has become the key growth driver for the company’s business. The company provides customers, including both fabless IC design companies and system companies, with leading-edge logic process technologies, such as 2-nanometer Nanosheet Transistor (‘N2’), 3-nanometer Fin Field-Effect Transistor (‘FinFET’), 4-nanometer FinFET, 5-nanometer FinFET, 6-nanometer FinFET, and 7- nanometer FinFET, as well as comprehensive intellectual properties including high-speed interconnect intellectual properties to meet customers’ product requirements for transferring and processing vast amounts of data anywhere at any time. Specifically, the company introduced its HPC-focused technologies, such as N4X, N3X, and N2X, representing the ultimate performance and maximum clock frequencies in the company’s 5-nanometer, 3-nanometer, and 2-nanometer families, respectively. Based on advanced process nodes, a variety of HPC products have been launched, such as AI accelerators, including AI graphics processor units (‘GPUs’) and AI application specific integrated circuits (‘ASICs’), personal computer central processing units (‘CPUs’), consumer GPUs, field programmable gate arrays (‘FPGAs’), server processors, and high-speed networking chips, etc. These products can be used in current and future 5G/6G infrastructures, AI, cloud, and enterprise data centers. The company also offers multiple TSMC 3DFabric advanced silicon stacking and packaging solutions, such as TSMC- SoIC manufacturing services and CoWoS advanced packaging services, to enable homogeneous and heterogeneous chip integration to meet customer requirements for high performance, high compute density and high energy efficiency, low latency, and high integration. The company will continue to optimize the company’s HPC platform and strengthen collaboration with customers to help them capture market growth in HPC markets.
Smartphones
For customers’ premium product applications, the company offers leading logic process technologies such as 2- nanometer Nanosheet Plus (‘N2P’), 3-nanometer FinFET Plus (‘N3P’), 3-nanometer FinFET Enhanced (‘N3E’), 3- nanometer FinFET, 4-nanometer FinFET Plus (‘N4P’), 4-nanometer FinFET, 5-nanometer FinFET Plus (‘N5P’), and 5- nanometer FinFET, as well as comprehensive intellectual properties to further enhance chip performance, reduce power consumption, and decrease chip size. For mainstream product applications, the company provides a broad range of logic process technologies, including 3-nanometer FinFET Compact (‘N3C’), 4-nanometer FinFET Compact (‘N4C’), 6-nanometer FinFET, 7-nanometer FinFET Plus (‘N7+’), 7-nanometer FinFET, 12-nanometer FinFET Compact Plus (‘12FFC+’), 12- nanometer FinFET Compact (‘12FFC’), 16-nanometer FinFET Compact Plus (‘16FFC+’), 16-nanometer FinFET Compact (‘16FFC’), 28-nanometer High Performance Compact Plus (‘28HPC+’), 28-nanometer High Performance Compact (‘28HPC’), and 22-nanometer Ultra-Low Power (‘22ULP’), as well as comprehensive intellectual properties, to satisfy customer needs for high-performance and low-power chips. Furthermore, for both premium and mainstream product applications, the company offers leading-edge, highly competitive specialty technologies to deliver specialty companion chips for customers’ logic application processors, including radio frequency (‘RF’), RF front-end, embedded non-volatile memory (‘eNVM’), power management ICs (‘PMICs’), sensors, and display chips, as well as TSMC 3DFabric advanced packaging services, such as the company’s industry-leading InFO technology.
Internet of Things (‘IoT’)
Following the three megatrends of the IoT segment, ‘Everything Connected, Smart and Green,’ the company not only provide customers with solid logic technologies, including 4-nanometer, 5-nanometer, 6-nanometer, 7- nanometer, 12-nanometer, 16-nanometer, and 28-nanometer, but also build a leading, complete and highly integrated ultra- low power (‘ULP’) technology platform based on the company’s logic technologies to enable customers’ product innovations for the Artificial Intelligence of Things (‘AIoT’, AI+IoT) and Edge AI. The company’s industry-leading ULP technologies feature both energy efficiency and high performance, providing more computing power and AI inferencing capability while reducing system power consumption. FinFET-based 6-nanometer technology service (‘N6e ULP’) and 12-nanometer technology service (‘N12e ULP’) have both entered volume production, while the next-generation 4-nanometer ULP technology is in development. In addition, planar transistor-based mainstream technologies, such as 22-nanometer Ultra-Low Leakage (‘ULL’), 28-nanometer ULP, 40-nanometer ULP, and 55-nanometer ULP technologies, have been widely adopted by various IoT system-on-a-chip (‘SoC’) and battery-powered products to extend battery life. The company’s ULP technology platform also provides customers with comprehensive specialty technologies, covering RF, enhanced analog devices, embedded non-volatile memory, sensors, display devices, and PMICs. For extreme low-power product applications, the company has also extended its low operating voltage (‘Low Vdd’) offerings and have provided simulation program with integrated circuit emphasis (‘SPICE’) models with a wide range of operating voltages and design guidelines to lower the adoption barrier and reduce lead time to help customers successfully launch innovative products.
Automotive
The company offers a comprehensive spectrum of technologies and services to support the automotive industry’s three megatrends – building vehicles that are ‘Safer, Smarter and Greener.’ The company is also an industry leader in providing a robust automotive intellectual property ecosystem, which covers 3-nanometer, 4-nanometer, 5-nanometer, 7-nanometer, and 16-nanometer FinFET technologies, for advanced driver-assistance systems (‘ADAS’), advanced in-vehicle infotainment (‘IVI’), as well as zonal controllers for new electrical/electronic (‘E/E’) architectures in next-generation vehicles, including both internal combustion engines (‘ICEs’) and electric vehicles (‘EVs’). 3-nanometer FinFET Automotive (‘N3A’) technology, based on N3E technology, is the company’s most advanced automotive-grade technology to date and was released to customers at the end of 2025. In addition to the company’s advanced logic platform, the company offers comprehensive automotive-grade specialty technologies, including 28-nanometer embedded flash memory, 28-nanometer, 22-nanometer, and 16-nanometer RF for millimeter wave (‘mmWave’) applications, high dynamic range (‘HDR’) and high sensitivity CMOS image sensors (‘CIS’), light detection and ranging (‘LiDAR’) sensors, and PMICs. As for magnetoresistive random-access memory (‘MRAM’), the 16-nanometer technology as second-generation MRAM passed Automotive Grade-1 requirements in 2025. 22ULL resistive random-access memory (‘RRAM’) technology also passed Automotive Grade-1 requirements in 2025.
Digital Consumer Electronics (‘DCE’)
The company provides customers with leading comprehensive technologies to deliver superior performance for 8K/4K video streaming, AI features, better power efficiency, and seamless connectivity for DCE applications, including smart digital TVs (‘DTVs’), set-top boxes (‘STBs’), AI-embedded smart cameras and associated wireless local area networks (‘WLANs’), and PMICs, etc. The company’s leading 5-nanometer FinFET, 7-nanometer/6-nanometer FinFET, 16-nanometer FinFET/12-nanometer FinFET, and 22ULP/22ULL technologies have been widely adopted by leading global makers of 8K/4K DTVs and STBs, 4K streaming media devices (‘SMDs’)/over-the-top (‘OTT’), digital single-lens reflex (‘DSLR’) cameras, and so on. The company will continue to make these technologies more competitive through design-technology co-optimization (‘DTCO’) for customers’ digital intensive chip designs and to drive lower power consumption for more cost-effective packaging.
Design and Technology Platforms
Modern integrated circuit designers need sophisticated design infrastructure to optimize productivity and cycle time. Such infrastructure includes design flow for electronic design automation (‘EDA’), silicon proven building blocks such as libraries and intellectual properties, simulation and verification design kits such as PDK and technology files. All of this infrastructure is built on top of the technology foundation, and each technology needs its own design infrastructure to be usable for designers. This is the concept of the company’s technology platforms. For years, the company and its alliance partners have spent considerable effort, time and resources to build the company’s technology platforms. The company unveiled an Open Innovation Platform (‘OIP’) initiative in 2008 to further enhance the company’s technologies offerings. More OIP deliverables were introduced over the years, as well as in 2025. In the design methodology area, the company announced EDA and intellectual property readiness of 3-nanometer, 2-nanometer and TSMC A16TM, as well as continuo the company development of solutions to enhance power, performance and area (‘PPA’) on existing production technology nodes. In addition, the company contributed the 3Dblox Standard to the Institute of Electrical and Electronics Engineers (the ‘IEEE’), and made available various 3-Dimensional Integrated Circuit (‘3DIC’) reference flows to support TSMC 3DFabric technology services in 3D silicon stacking and advanced packaging which cover a wide range of system-level design applications.
Multi-project Wafer Program (‘CyberShuttle’)
To help the company’s customers reduce costs, the company offers a dedicated multi-project wafer processing service that allows the company to provide multiple customers with circuits produced with the same mask. This program reduces mask costs by a very significant amount, resulting in accelerated time-to-market for the company’s customers. The company has extended this program to all of the company’s customers and library and intellectual property partners using the company’s broad selection of process technologies, ranging from the latest 2-, 3-, 4-, 5-, 6-, 7-, 12-, 16-, 22-, 28-, 40-, 45-, 55-, 65- and 90-nanometer processes to 0.13-, 0.18-, 0.25- and 0.35-micron. This extension offers a routinely scheduled multi-project wafer run to customers on a shared-cost basis for prototyping and verification. The company developed its multi-project wafer program in response to the current SoC development methodologies, which often require the independent development, prototyping and validation of several intellectual properties before they can be integrated onto a single device. By sharing mask costs among the company’s customers to the extent permissible, the SoC supplier can enjoy reduced prototyping costs and greater confidence that the design will be successful.
Environmental and Climate Related Laws and Regulations
Operations at the company’s fabs are subject to regulations and periodic monitoring by the R.O.C. Ministry of Environment, the U.S. Environmental Protection Agency, the State Environmental Protection Administration of China, the Japan Ministry of the Environment, the European Environment Agency and European Chemicals Agency, and local environmental protection authorities in Taiwan, the U.S., China, Japan and Germany.
Subsidiaries and Affiliates
Vanguard International Semiconductor Corporation (‘VIS’). In 1994, the company, the R.O.C. Ministry of Economic Affairs and other investors established VIS, then an integrated dynamic random access memory (‘DRAM’) manufacturer. VIS commenced commercial production in 1995 and listed its shares on the Taipei Exchange (originally the R.O.C. Over- the-Counter Securities Exchange) in March 1998. In 2004, VIS completely terminated its DRAM production and became a dedicated foundry company. In October 2024, the company acquired additional shares in VIS’ capital increase transaction. As of February 28, 2026, the company owned approximately 27.6% of the equity interest in VIS.
TSMC Washington, LLC (‘TSMC Washington’, previously WaferTech, LLC (‘WaferTech’)). In 1996, the company entered into a joint venture called WaferTech (of which the manufacturing entity is Fab 11) with several U.S.-based investors to construct and operate a foundry in the United States. Initial trial production at WaferTech commenced in July 1998 and commercial production commenced in October 1998. In December 2023, WaferTech was renamed as TSMC Washington. As of February 28, 2026, the company owned 100% of the equity interest in TSMC Washington.
TSMC Global Ltd. (‘TSMC Global’). In December 1998, the company established TSMC Holding Ltd. in the B.V.I. as a company with limited liability. In 2006, TSMC Holding Ltd. was renamed to TSMC Global Ltd. TSMC Global is a wholly-owned subsidiary primarily engaged in corporate treasury investment activities.
Systems on Silicon Manufacturing Company Pte. Ltd. (‘SSMC’). In March 1999, the company entered into an agreement with Koninklijke Philips NV (‘Philips’) and EDB Investment Pte. Ltd. (‘EDB’) to found a joint venture, SSMC, and build a fab in Singapore. The SSMC fab commenced commercial production in December 2000. As of February 28, 2026, the company owned approximately 38.8% of the equity interest in SSMC.
Global Unichip Corporation (‘GUC’). In January 2003, the company acquired a 52.0% equity interest in GUC, a SoC design service company that provides large scale SoC implementation services. GUC listed its shares on the Taiwan Stock Exchange in November 2006. As of February 28, 2026, the company owned approximately 34.8% of the equity interest in GUC.
TSMC China. In August 2003, the company established TSMC China (of which the manufacturing entity is Fab 10), a wholly- owned subsidiary primarily engaged in the manufacture and sale of integrated circuits. TSMC China commenced commercial production in late 2004.
VisEra Technologies Company, Ltd. (‘VisEra Technologies’). In October 2003, the company and OmniVision Technologies Inc. (‘OVT’), entered into an agreement to form VisEra Technologies, a joint venture in Taiwan, for the purpose of providing back-end service for CMOS image sensor manufacturing business. In November 2015, the company acquired all of OVT’s equity interest in VisEra Technologies. In March 2021, the company disposed certain common shares of VisEra Technologies to facilitate its initial public offering (‘IPO’). Immediately following VisEra Technologies’ IPO in June 2022, the company’s shareholding was diluted to approximately 67.9%. As of February 28, 2026, the company owned approximately 67.2% of the equity interest in VisEra Technologies.
Xintec, Inc. (‘Xintec’). In January 2007, the company acquired a 51.2% equity interest in Xintec, a supplier of wafer level packaging service, to support the company’s CMOS image sensor manufacturing business. In March 2015, Xintec listed its shares on the Taipei Exchange. Subsequent to Xintec’s IPO, the company’s shareholding in Xintec was diluted to approximately 41.2%. As of February 28, 2026, the company owned approximately 41.0% of the equity interest in Xintec.
TSMC Nanjing. In May 2016, the company established TSMC Nanjing (of which the manufacturing entity is Fab 16), a wholly-owned subsidiary primarily engaged in the manufacture and sale of integrated circuits. TSMC Nanjing commenced commercial production in April 2018.
TSMC Arizona. In November 2020, the company established TSMC Arizona (of which the manufacturing entity is Fab 21), a wholly-owned subsidiary that is expected to be primarily engaged in the manufacture and sale of integrated circuits. TSMC Arizona plans to build and operate multiple advanced semiconductor manufacturing facilities in Phoenix, Arizona. The company’s first facility successfully entered high volume production at the end of 2024. Construction of the company’s second facility is ongoing, and the construction of the company’s third facility commenced in 2025. Furthermore, the company acquired an additional parcel of land in 2026 to support the company’s current expansion plans and provide more flexibility in response to strong customer demand. In November 2024, TSMC Arizona entered into a direct funding agreement (the ‘Direct Funding Agreement’) with the U.S. Department of Commerce (the ‘DOC’) under the U.S. CHIPS Act.
JASM. In December 2021, the company established JASM (of which the manufacturing entity is Fab 23) in Kumamoto, Japan, which is expected to be primarily engaged in the manufacture and sale of integrated circuits. In January 2022, Sony Semiconductor Solution Corporation (‘Sony’) acquired a less than 20% equity interest in JASM. In April 2022, DENSO Corporation (‘DENSO’) acquired a more than 10% minority equity interest in JASM. Construction on the site commenced in April 2022 and volume production commenced in December 2024. In February 2024, the company, Sony, DENSO and Toyota Motor Corporation (‘Toyota’) announced further investment into JASM to build and operate a second semiconductor manufacturing facility. Construction on the second site commenced in October 2025. By way of such investment, Toyota also took a minority stake in JASM. As of February 28, 2026, the company owned approximately 72.6% of the equity interest in JASM.
ESMC. In June 2023, the company established ESMC in Dresden, Germany, which is expected to be primarily engaged in the manufacturing and sale of integrated circuits. In January 2024, Robert Bosch GmbH, Infineon Technologies AG, and NXP Semiconductors Germany GmbH, a wholly-owned subsidiary of NXP Semiconductors N.V. (‘NXP’), each acquired 10% equity interest and together acquired 30% equity interest in ESMC. Construction on the site commenced in 2024. As of February 28, 2026, the company owned 70.0% of the equity interest in ESMC.
Research and Development
In 2025, the company spent NT$246,427 million (U.S.$7,855 million) on research and development.
History
Taiwan Semiconductor Manufacturing Company Limited, a Republic of China corporation, was founded in 1987. The company was incorporated in 1987.</t>
  </si>
  <si>
    <t>Information Technology; Semiconductors and Semiconductor Equipment; Semiconductors and Semiconductor Equipment; Semiconductors; Analog and Mixed Signal; Digital; Logic Devices; Semiconductor Manufacturing Services</t>
  </si>
  <si>
    <t>Foundry</t>
  </si>
  <si>
    <t>Tencent Holdings Limited (SEHK:700)</t>
  </si>
  <si>
    <t>Tencent Holdings Limited</t>
  </si>
  <si>
    <t>Tencent Holdings Limited, an investment holding company, offers value-added services (VAS), online advertising, fintech, and business services in the People’s Republic of China and internationally.
The company operates through a diverse range of business segments, primarily focusing on value-added services, online advertising, fintech and business services, and other ventures. Tencent is widely recognized for its innovative approach to technology, leveraging its extensive ecosystem that integrates social media, gaming, digital content, and financial services. The company has established itself as a dominant player in the digital landscape, with a robust portfolio that includes platforms like WeChat, QQ, and a multitude of gaming titles that cater to a global audience.
Business Segments
The company operates through several key business segments, each contributing to the company's overall growth and market presence. The primary segments include:
Value-added Services (VAS): This segment encompasses the company's core offerings in online games and social networks. Tencent is one of the largest gaming companies globally, providing a wide range of games across various genres, including mobile, PC, and console games. The company’s social networking services, particularly WeChat and QQ, play a crucial role in user engagement, allowing users to connect, share content, and access various services seamlessly.
Online Advertising: The company's online advertising segment leverages its extensive user base and data analytics capabilities to deliver targeted advertising solutions. The company offers advertising services across its platforms, including social media, gaming, and content distribution channels. This segment has seen significant growth as advertisers increasingly recognize the value of digital marketing in reaching consumers.
FinTech and Business Services: The company has made substantial inroads into the financial technology sector, providing a range of services including payment solutions, wealth management, and enterprise services. The company’s WeChat Pay and QQ Wallet are widely used in China, facilitating seamless transactions for consumers and businesses alike. Additionally, Tencent offers cloud computing services, catering to the needs of enterprises looking for scalable and secure solutions.
Others: This segment includes various other business activities, such as the production and distribution of films and television programs, copyright licensing, and merchandise sales. The company's investments in media and entertainment have allowed it to diversify its revenue streams and enhance its brand presence in the global market.
Business Strategy
The company's business strategy is rooted in innovation, user-centricity, and strategic partnerships. The company aims to enhance its core offerings while exploring new growth opportunities in emerging markets and technologies. A key aspect of the company's strategy is its commitment to research and development, which enables Tencent to stay ahead of industry trends and consumer preferences.
The company focuses on building a robust ecosystem that integrates various services, allowing users to access a wide range of functionalities within a single platform. By fostering user engagement through social interactions, gaming, and content consumption, Tencent aims to create a loyal user base that drives sustained growth.
The company also emphasizes strategic partnerships and acquisitions to expand its market presence and enhance its service offerings. The company actively seeks opportunities to invest in startups and established companies that align with its strategic vision. This approach not only diversifies Tencent's portfolio but also enables it to leverage new technologies and expertise.
Furthermore, the company is committed to enhancing its corporate social responsibility initiatives, promoting sustainable development, and contributing to the communities in which it operates. The company recognizes the importance of balancing business growth with social impact, ensuring that its operations benefit both users and society at large.
Products and Services
The company offers a diverse range of products and services that cater to various consumer and business needs. The company's primary offerings include:
Social Media Platforms: Tencent's flagship products, WeChat and QQ, serve as multifunctional platforms that integrate messaging, social networking, and payment solutions. WeChat has become a vital tool for communication and commerce in China, offering users a seamless experience for social interactions and transactions.
Gaming: The company is a global leader in the gaming industry, providing a wide array of games across multiple platforms. The company develops and publishes popular titles, including Honor of Kings, PUBG Mobile, and Call of Duty Mobile. Tencent's gaming division also includes investments in various gaming studios and partnerships with international developers.
FinTech Solutions: The company's financial technology offerings include WeChat Pay and QQ Wallet, which facilitate online payments, money transfers, and financial management. The company also provides services for businesses, including payment processing and financial analytics.
Cloud Computing: The company Cloud offers a suite of cloud services, including computing, storage, and data analytics, catering to enterprises seeking scalable and secure solutions. The company's cloud services are designed to support businesses in their digital transformation efforts.
Digital Content: The company is involved in the production and distribution of digital content, including music, videos, and literature. The company operates platforms like Tencent Video and Tencent Music, providing users with access to a vast library of entertainment options.
Geographical Markets Served
The company primarily operates in the Chinese market, where it has established a dominant presence across various sectors. However, the company has also expanded its reach into international markets, seeking to capitalize on growth opportunities outside of China.
In recent years, the company has made strategic acquisitions to enhance its portfolio. For instance, the company completed the privatization of Sumo Group PLC, acquiring a 100% stake in the company. This acquisition is expected to bolster the company's capabilities in the gaming sector and enhance its overall market position.
Seasonality
The company's business is influenced by various seasonal factors, particularly in the gaming and online advertising segments. The gaming sector often experiences fluctuations in user engagement based on seasonal trends, holidays, and major events. For instance, during the Chinese New Year and other festive periods, there is typically an uptick in gaming activity as users seek entertainment during their time off.
Similarly, the online advertising segment may see variations in demand based on seasonal marketing campaigns and consumer behavior. Advertisers often ramp up spending during specific periods, such as the holiday season, leading to increased revenue for Tencent's advertising services.
Customers
The company serves a diverse range of customers across various categories, including individual consumers, businesses, and government entities. The company’s platforms cater to millions of users, with WeChat boasting over a billion monthly active users. The company’s gaming division also attracts a vast audience, with numerous titles achieving significant player bases.
The company’s fintech solutions serve a wide array of businesses, from small enterprises to large corporations, facilitating seamless payment processing and financial management. Tencent's cloud services cater to various industries, including e-commerce, healthcare, and education, providing tailored solutions to meet specific business needs.
Sales and Marketing
The company employs a multifaceted approach to sales and marketing, leveraging its extensive digital ecosystem to reach consumers effectively. The company utilizes targeted advertising across its platforms, ensuring that marketing messages are tailored to specific user segments based on their preferences and behaviors.
The company’s marketing strategies include partnerships with influencers, collaborations with brands, and promotional campaigns that leverage seasonal trends. The company also emphasizes user engagement through interactive content and community-building initiatives, fostering a loyal user base that drives organic growth.
In terms of distribution channels, the company primarily relies on its digital platforms to deliver products and services. The company’s apps and websites serve as the primary touchpoints for users, allowing for seamless access to a wide range of offerings.
History
The company was founded in 1998. The company was incorporated in 1999. The company was formerly known as Tencent (BVI) Limited and changed its name to Tencent Holding Limited in February 2004.</t>
  </si>
  <si>
    <t>Media and Entertainment; Online Services; Social Media and Networking Platforms; Communication Services; Interactive Media and Services; Interactive Media and Services</t>
  </si>
  <si>
    <t>Communication Services</t>
  </si>
  <si>
    <t>Media and Entertainment</t>
  </si>
  <si>
    <t>Interactive Media and Services</t>
  </si>
  <si>
    <t>Fintech and Business Services</t>
  </si>
  <si>
    <t>Value-Added Services (VAS)</t>
  </si>
  <si>
    <t>Marketing Services</t>
  </si>
  <si>
    <t>Westpac Banking Corporation (ASX:WBC)</t>
  </si>
  <si>
    <t>Westpac Banking Corporation</t>
  </si>
  <si>
    <t>Westpac Banking Corporation (Westpac) provides banking and other financial services in Australia and New Zealand.
The company operates under multiple brands, and predominantly in Australia and New Zealand, with a small presence in Europe, North America, Asia and the Pacific. The company operates significant online capability supported by an extensive branch and ATM network, call centres and relationship bankers.
The company serves 13 million customers with a range of banking products and services, including helping them into homes, starting and growing businesses, and supporting large corporates with their banking needs.
The company helps foster stronger, more inclusive communities by promoting financial inclusion and literacy, investing in regional banking services and respecting human rights.
Segments
The company operations through the following key segments:
Consumer provides banking products and services to customers in Australia through three lines of business consisting of mortgages, consumer finance and cash and transactional banking.
Business &amp; Wealth comprises Business Banking for customers generally up to $200 million in exposure, Wealth Management, Private Wealth and Westpac Pacific.
Institutional delivers a broad range of financial products and services to corporate, institutional and government customers.
New Zealand provides banking, and wealth products and services for consumer, business and institutional customers in New Zealand.
Group Businesses includes Treasury, Enterprise services and other costs not directly attributable to segments including Corporate Affairs, Finance and HR services, a portion of enterprise technology costs related to UNITE in prior periods, certain customer remediation expenses and enterprise provisions. It also includes Group-wide consolidation entries.
Changes in Segment Composition
In 2025, the following changes to Segment results were applied:
The merchants services business was transferred from Business &amp; Wealth to Institutional given strategic alignment with the management of payments infrastructure;
The contribution from the auto finance portfolio, which was sold in March 2025, was transferred from Business &amp; Wealth to Group Businesses; and
The realignment of Consumer, Business &amp; Wealth and Institutional Human Resources and Finance function expenses to Group Businesses.
Results for 2025 reflect the new segment composition. As the impact of these changes on segment results were immaterial, comparatives were not revised.
Consumer
The Consumer segment provides a full range of banking products and services to customers in Australia. Products and services offered through the Westpac, St.George, BankSA, and Bank of Melbourne brands.
Business &amp; Wealth
The Business &amp; Wealth segment includes Private Wealth, supporting highnet-worth individuals, as well as BT Financial Group, which provides wealth management platform services. It also includes Westpac Pacific, operating in Fiji and Papua New Guinea. The company Serving the needs of small to medium businesses, commercial and agribusiness customers across Australia.
Institutional
The Institutional segment delivers financial services to corporate, institutional and government clients through three areas of specialisation: Corporate &amp; Institutional Banking, Global Transaction Services and Financial Markets. Clients are supported throughout Australia and via branches and subsidiaries located in New Zealand, New York, London, Frankfurt, and Singapore.
New Zealand
The New Zealand segment provides banking and wealth services for consumer, business and institutional customers in New Zealand, through the Westpac New Zealand, Westpac Life, and BT Funds Management (NZ) brands.
Strategy
The company’s refreshed strategy outlines five priorities that will help it achieves its ambition: To be the company’s customers' number one bank and partner through life.
For customers, the company is focused on delivering a seamless banking experience across every channel; in branch, digitally and by phone. A whole-of-bank approach seeks to bring the company’s people together, to offer the full breadth of its products with more timely, personalised service. This, combined with digital innovation and investment in platforms such as BizEdge, Westpac One and Digital Banker, supports the company’s ambition to lead in Consumer and Business Net Promoter Score (NPS1 ) and for Institutional, to achieve the number one position in the Relationship Strength Index (RSI2 ).
For the company’s people, it recognises the company must provides a market-leading employee proposition to deliver superior customer experiences. To sustain high engagement and attract and retain the best talent, the company is committed to equipping its people with future-ready skills and creating a more rewarding, supportive work environment.
Proactive risk management is central to Westpac's strength and resilience. Through the completion of the CORE program, the company has taken steps to significantly transform its risk culture, governance, and management practices. Sustaining, and continuously strengthening these improvements across Westpac remains a priority for the company.
Transformation is critical to the company's future success. The company's cornerstone program, UNITE, intends to unlock long-term value by simplifying products, processes, and systems to help deliver improved customer experience, make work easier for its people, and reduce operating costs. Complementing UNITE are two flagship digital innovations, BizEdge, and Westpac One.
The company measures performance by market position and return on tangible equity (ROTE). The company is pursuing growth that delivers sustainable returns, focusing on areas where it can differentiate Westpac's customer offering. Maintaining cost discipline remains important for the company, with simplification through UNITE expected to play a key role in reducing its cost base, and closing its cost to income gap relative to peers.
Dispositions
The sale of the auto finance loan portfolio to Resimac Asset Finance Pty Limited was completed on 1 March 2025.
History
The company was founded in 1817. It was incorporated in 2002. The company was formerly known as Bank of New South Wales and changed its name to Westpac Banking Corporation in 1982.</t>
  </si>
  <si>
    <t>Consumer</t>
  </si>
  <si>
    <t>Business &amp; Wealth</t>
  </si>
  <si>
    <t>Institutional</t>
  </si>
  <si>
    <t>Westpac New Zealand</t>
  </si>
  <si>
    <t>Group Businesses</t>
  </si>
  <si>
    <t>WiseTech Global Limited (ASX:WTC)</t>
  </si>
  <si>
    <t>WiseTech Global Limited</t>
  </si>
  <si>
    <t>WiseTech Global Limited engages in the development and provision of software solutions to the logistics execution industry in the Americas, the Asia Pacific, Europe, the Middle East, and Africa.
Business Segments
The company operates as a single business segment, focusing on Integrated Logistics Software Solutions.
The Logistics Software segment engages in developing advanced software that addresses the unique challenges faced by the logistics industry, including customs compliance, freight forwarding, and real-time visibility. The flagship software offering, CargoWise, serves as the core platform for its clients, enabling them to manage the complexities of logistics with greater efficiency and accuracy. CargoWise provides a suite of tools encompassing logistical tasks such as quoting, job management, customs handling, and accounts management, ensuring seamless operations through swift updates and integrations with various data sources. This segment also includes other software products like CustomsWare for customs declaration management and Blume Global for supply chain orchestration, enhancing the company’s ability to cater to diverse logistics needs.
Business Strategy
The company’s business strategy centers on driving innovation and expanding market reach through technological advancements and strategic acquisitions. The company delivers high-quality software solutions tailored to logistics professionals, backed by significant investment in research and development to introduce new features that adapt to market dynamics. By enhancing existing offerings and focusing on customer feedback, the company ensures continuous improvement and increased user satisfaction. Strategic acquisitions, such as Envase and Blume, play a crucial role in its growth, integrating new technologies and broadening its client base. Additionally, the company emphasizes scalability and adaptability to meet the evolving logistics landscape, leveraging digital advancements to maintain its leadership in logistics software solutions and sustain its competitive advantage.
Products and Services
The company excels in delivering a variety of products specifically designed for the logistics and supply chain sectors. Its primary product, CargoWise, serves as an integrated platform that consolidates numerous functionalities critical to logistics and freight management. This robust solution includes features such as customs compliance, freight tracking, order management, and accounting processes, all accessible through a unified interface. Additionally, the company invests in customization capabilities, allowing clients to tailor solutions based on their specific operational requirements, which is particularly beneficial for businesses catering to niche markets or unique logistical challenges.
The company offers a range of value-added services, including training, consulting, and technical support, ensuring clients can effectively utilize the software. Continuous updates and improvements are integral to the service model, allowing clients to benefit from the latest technology advancements. Furthermore, the company provides API integrations that enable its software to interface seamlessly with other systems, enhancing the overall user experience. This comprehensive customer support approach fosters client engagement and satisfaction, reinforcing long-term relationships and encouraging referrals and repeat business.
Geographical Markets Served
The company serves a diverse array of geographical markets, emphasizing a global reach that encompasses regions such as the Americas, Asia Pacific, and Europe, the Middle East, and Africa (EMEA). The company has established its presence in major logistics hubs across these regions, ensuring its software solutions are accessible to a wide array of customers engaged in logistics operations. By leveraging regional insights and tailoring its offerings accordingly, the company effectively meets the localized needs of its users while maintaining a cohesive brand identity.
Recent Acquisitions
The company in the past fiscal year, has completed the acquisition of Envase Holdings, Inc. and Blume Global, Inc., enhancing its portfolio significantly. These key acquisitions bring substantial goodwill and other intangibles to the company, valuing Envase at approximately $341.9 million and Blume at $667.4 million. This strategic move positions the company in a stronger competitive stance by integrating advanced technologies and expanding its client reach in various logistics operations.
Seasonality
The company operations are not characterized by significant seasonal fluctuations; instead, the company benefits from a steady demand throughout the year. The continual need for logistics solutions is driven by the growing complexity of global supply chains rather than cyclical patterns. The company remains diligent in monitoring market demands to ensure responsiveness to client needs regardless of seasonal changes.
Customers
The company serves a broad range of customers within the logistics and supply chain management sector. The clientele includes freight forwarders, customs brokers, warehousing operators, and transportation companies. Additionally, the company caters to thousands of customers globally, utilizing its comprehensive software solutions to streamline operations and enhance operational efficiency. By cultivating relationships with a diverse customer base, the company continues to gather valuable insights that inform future developments and service offerings.
Sales and Marketing Channels
The company employs a multifaceted marketing strategy, leveraging both direct and digital marketing methods to reach prospective clients. Direct sales teams engage with logistics companies to showcase the benefits of their software solutions, while digital channels foster broader awareness through targeted online advertising campaigns, content marketing, and webinars. The company distribution channels include partnerships with industry stakeholders and resellers, expanding its reach further into the logistics ecosystem.
History
WiseTech Global Limited was founded in 1994. The company was incorporated in 1994.</t>
  </si>
  <si>
    <t>Information Technology; Software and Services; Application Hosting Services; Application Service Providers (ASPs); Software; Application Software; Enterprise Software; Industry Specific Software; Transportation Industry Software; Logistics Software; Transportation and Warehousing Software</t>
  </si>
  <si>
    <t>Software and Services</t>
  </si>
  <si>
    <t>Software</t>
  </si>
  <si>
    <t>Application Software</t>
  </si>
  <si>
    <t>Wtg Ex. E2open</t>
  </si>
  <si>
    <t>E2open</t>
  </si>
  <si>
    <t>Unallocated Corporate Costs</t>
  </si>
  <si>
    <t>Xiaomi Corporation (SEHK:1810)</t>
  </si>
  <si>
    <t>Xiaomi Corporation</t>
  </si>
  <si>
    <t>Xiaomi Corporation, an investment holding company, provides hardware and software services in Mainland China and internationally. The company engages primarily in the development and sales of smartphones, Internet of Things (IoT) and lifestyle products, as well as the provision of internet services.
Business Segments
The company operates through several business segments. The core business segments of the company include Mobile Communications, IoT and Lifestyle Products, Internet Services, and other key business operations.
Mobile Communications
This segment focuses on the design, development, and sale of smartphones that cater to a wide range of consumers.
IoT and Lifestyle Products
This segment encompasses a broad array of smart home devices, wearables, and lifestyle accessories. This segment includes products such as smart TVs, smart speakers, and fitness bands.
Internet Services
This segment focuses on offering various online services to enhance customer engagement and retention. This segment encompasses cloud storage services, mobile applications, and value-added services that expand the functionality of the company’s products.
Business Strategy
The company’s overarching business strategy concentrates on innovation, quality, and consumer engagement. Recognizing the dynamic nature of the technology sector, the company places emphasis on research and development. By investing significantly in innovative technologies, the company aims to launch products that meet and exceed consumer expectations. The innovative prowess of the company has led to the introduction of various new models that incorporate advanced features, catering to the evolving needs of consumers.
Consumer engagement is another cornerstone of the company’s strategy. The company leverages digital marketing, social media platforms, and community engagement to foster strong relationships with its customer base. By listening to consumer feedback, the company continually enhances its offerings and tailors its strategies to reflect user preferences.
Products and Services
The company offers a diverse range of products and services designed to enhance user experience and cater to the varying needs of consumers. The product lineup includes smartphones.
In addition to smartphones, the company’s offerings extend to an extensive portfolio of IoT and lifestyle products. This includes a range of smart home devices such as security cameras, air purifiers, and smart lights designed to create a connected home environment.
The company also markets wearable technology, including fitness trackers and smartwatches that promote health and wellness.
Moreover, the company offers a suite of internet services that complements its hardware products. These services include cloud storage solutions, a range of mobile applications for entertainment and productivity, and online community platforms that engage users.
Geographical Markets Served
The company operates in numerous geographical markets, with its primary market being mainland China. The company has also expanded successfully into international markets, including India, Southeast Asia, Europe, and Latin America.
Seasonality
The company experiences a certain degree of seasonality in its business operations, particularly in its sales of consumer electronics. The peak seasons typically coincide with major shopping events and festivals, such as the Chinese New Year and global holiday seasons. During these periods, consumer spending often increases, leading to heightened demand for the company’s products.
Customers
The company serves a broad customer base that spans various demographics and geographic locations. The company caters to both individual consumers and businesses looking for reliable technology solutions.
Sales and Marketing
The company employs a multi-faceted sales and marketing strategy that encompasses online and offline channels. The company has a robust e-commerce platform that allows users to purchase products directly from its website, complemented by partnerships with various online retailers. Additionally, the company has established a network of physical stores that enhances consumer accessibility and fosters direct engagement through hands-on experiences with products.
History
Xiaomi Corporation was founded in 2010. The company was incorporated in 2010.</t>
  </si>
  <si>
    <t>Information Technology; Technology Hardware and Equipment; Technology Hardware, Storage and Peripherals; Technology Hardware, Storage and Peripherals; Personal Computers And Accessories; Laptop Computers; Wireless Telephone Equipment; Mobile Telephones</t>
  </si>
  <si>
    <t>Smartphones</t>
  </si>
  <si>
    <t>IoT and Lifestyle Products</t>
  </si>
  <si>
    <t>Internet Services</t>
  </si>
  <si>
    <t>Other Related Businesses</t>
  </si>
  <si>
    <t>Smart EV, AI and Other New Initiatives</t>
  </si>
  <si>
    <t>Companies: New Screen</t>
  </si>
  <si>
    <t xml:space="preserve">Screening Criteria: </t>
  </si>
  <si>
    <t>1                 Add Companies: "Taiwan Semiconductor Manufacturing Company Limited (TWSE:2330)","Samsung Electronics Co., Ltd. (KOSE:A005930)","SK hynix Inc. (KOSE:A000660)","Commonwealth Bank of Australia (ASX:CBA)","Tencent Holdings Limited (SEHK:700)","Alibaba Group Holding Limited (NYSE:BABA)","BHP Group Limited (ASX:BHP)","WiseTech Global Limited (ASX:WTC)","Delta Electronics, Inc. (TWSE:2308)","National Australia Bank Limited (ASX:NAB)","MediaTek Inc. (TWSE:2454)","Industrial and Commercial Bank of China Limited (SEHK:1398)","Westpac Banking Corporation (ASX:WBC)","Hon Hai Precision Industry Co., Ltd. (TWSE:2317)","China Construction Bank Corporation (SEHK:939)","DBS Group Holdings Ltd (SGX:D05)","Bank of China Limited (SEHK:3988)","Samsung Electro-Mechanics Co., Ltd. (KOSE:A009150)","Macquarie Group Limited (ASX:MQG)","Reliance Industries Limited (NSEI:RELIANCE)","Xiaomi Corporation (SEHK:1810)","ICICI Bank Limited (NSEI:ICICIBANK)","Oversea-Chinese Banking Corporation Limited (SGX:O39)","Hyundai Motor Company (KOSE:A005380)","Chroma ATE Inc. (TWSE:2360)"</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</si>
</sst>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0)"/>
  </numFmts>
  <fonts count="3">
    <font>
      <sz val="11"/>
      <color theme="1"/>
      <name val="Calibri"/>
      <family val="2"/>
      <scheme val="minor"/>
    </font>
    <font>
      <sz val="10"/>
      <color theme="1"/>
      <name val="Arial"/>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0">
    <xf numFmtId="0" fontId="0" fillId="0" borderId="0" xfId="0" applyFont="1" applyFill="1"/>
    <xf numFmtId="0" fontId="0" fillId="0" borderId="0" xfId="0" applyFont="1" applyFill="1" applyBorder="1"/>
    <xf numFmtId="82" fontId="0" fillId="0" borderId="0" xfId="0" applyNumberFormat="1" applyFont="1" applyFill="1" applyAlignment="1">
      <alignment horizontal="left" vertical="top"/>
    </xf>
    <xf numFmtId="82" fontId="0" fillId="0" borderId="0" xfId="0" applyNumberFormat="1" applyFont="1" applyFill="1" applyAlignment="1">
      <alignment horizontal="left" wrapText="1"/>
    </xf>
    <xf numFmtId="82" fontId="0" fillId="0" borderId="0" xfId="0" applyNumberFormat="1" applyFont="1" applyFill="1" applyAlignment="1">
      <alignment horizontal="right" wrapText="1"/>
    </xf>
    <xf numFmtId="49" fontId="0" fillId="0" borderId="0" xfId="0" applyNumberFormat="1" applyFont="1" applyFill="1" applyAlignment="1">
      <alignment horizontal="left" vertical="top"/>
    </xf>
    <xf numFmtId="82" fontId="0" fillId="0" borderId="0" xfId="0" applyNumberFormat="1" applyFont="1" applyFill="1" applyAlignment="1">
      <alignment horizontal="right" vertical="top"/>
    </xf>
    <xf numFmtId="83" fontId="0" fillId="0" borderId="0" xfId="0" applyNumberFormat="1" applyFont="1" applyFill="1" applyAlignment="1">
      <alignment horizontal="right" vertical="top"/>
    </xf>
    <xf numFmtId="0" fontId="0" fillId="0" borderId="0" xfId="0" applyFont="1" applyFill="1" applyBorder="1" applyAlignment="1">
      <alignment horizontal="center"/>
    </xf>
    <xf numFmtId="82" fontId="2" fillId="0" borderId="0" xfId="0" applyNumberFormat="1" applyFont="1" applyFill="1" applyAlignment="1">
      <alignment horizontal="lef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3" Type="http://schemas.openxmlformats.org/officeDocument/2006/relationships/worksheet" Target="worksheets/sheet2.xml" /><Relationship Id="rId4" Type="http://schemas.openxmlformats.org/officeDocument/2006/relationships/styles" Target="styles.xml" /><Relationship Id="rId2" Type="http://schemas.openxmlformats.org/officeDocument/2006/relationships/worksheet" Target="worksheets/sheet1.xml" /><Relationship Id="rId1" Type="http://schemas.openxmlformats.org/officeDocument/2006/relationships/theme" Target="theme/theme1.xml" /><Relationship Id="rId6" Type="http://schemas.openxmlformats.org/officeDocument/2006/relationships/calcChain" Target="calcChain.xml" /><Relationship Id="rId5" Type="http://schemas.openxmlformats.org/officeDocument/2006/relationships/sharedStrings" Target="sharedStrings.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BW32"/>
  <sheetViews>
    <sheetView tabSelected="1" workbookViewId="0" topLeftCell="A1">
      <selection pane="topLeft" activeCell="A1" sqref="A1"/>
    </sheetView>
  </sheetViews>
  <sheetFormatPr defaultRowHeight="15"/>
  <cols>
    <col min="1" max="1" width="48.5714285714286" customWidth="1"/>
    <col min="2" max="2" width="19.2857142857143" customWidth="1"/>
    <col min="3" max="3" width="48.5714285714286" customWidth="1"/>
    <col min="4" max="4" width="16.1428571428571" customWidth="1"/>
    <col min="5" max="6" width="48.5714285714286" customWidth="1"/>
    <col min="7" max="7" width="26.7142857142857" customWidth="1"/>
    <col min="8" max="11" width="48.5714285714286" customWidth="1"/>
    <col min="12" max="12" width="37.2857142857143" customWidth="1"/>
    <col min="13" max="14" width="48.5714285714286" customWidth="1"/>
    <col min="15" max="15" width="40.1428571428571" customWidth="1"/>
    <col min="16" max="20" width="21.1428571428571" customWidth="1"/>
    <col min="21" max="21" width="22" customWidth="1"/>
    <col min="22" max="22" width="21.1428571428571" customWidth="1"/>
    <col min="23" max="30" width="22" customWidth="1"/>
    <col min="31" max="31" width="21.1428571428571" customWidth="1"/>
    <col min="32" max="34" width="22" customWidth="1"/>
    <col min="35" max="39" width="21.1428571428571" customWidth="1"/>
    <col min="40" max="40" width="16.1428571428571" customWidth="1"/>
    <col min="41" max="45" width="22" customWidth="1"/>
    <col min="46" max="47" width="21.1428571428571" customWidth="1"/>
    <col min="48" max="49" width="22" customWidth="1"/>
    <col min="50" max="50" width="16.1428571428571" customWidth="1"/>
    <col min="51" max="51" width="22" customWidth="1"/>
    <col min="52" max="59" width="21.1428571428571" customWidth="1"/>
    <col min="60" max="60" width="22" customWidth="1"/>
    <col min="61" max="64" width="21.1428571428571" customWidth="1"/>
    <col min="65" max="65" width="22" customWidth="1"/>
    <col min="66" max="69" width="21.1428571428571" customWidth="1"/>
    <col min="70" max="70" width="22" customWidth="1"/>
    <col min="71" max="75" width="16.1428571428571" customWidth="1"/>
  </cols>
  <sheetData>
    <row r="1" spans="1:75" ht="15"/>
    <row r="2" spans="1:75" ht="15"/>
    <row r="3" spans="1:75" ht="15">
      <c r="A3" s="2">
        <f>SPGTable($B$8:$B$32,$C$5:$BW$5,$C$6:$BW$6,"Options:Curr=SGD,Mag=Standard,ConvMethod=R,FilingVer=Current/Restated")</f>
      </c>
    </row>
    <row r="4" spans="1:75" ht="15">
      <c r="A4" s="3">
        <f>SPGLabel(266637,267969,"","Options:Curr=SGD,Mag=Standard,ConvMethod=R,FilingVer=Current/Restated")</f>
      </c>
      <c r="B4" s="3">
        <f>SPGLabel(266637,267961,"","Options:Curr=SGD,Mag=Standard,ConvMethod=R,FilingVer=Current/Restated")</f>
      </c>
      <c r="C4" s="3">
        <f>SPGLabel(266637,275884,"","Options:Curr=SGD,Mag=Standard,ConvMethod=R,FilingVer=Current/Restated")</f>
      </c>
      <c r="D4" s="3">
        <f>SPGLabel(266637,271669,"","Options:Curr=SGD,Mag=Standard,ConvMethod=R,FilingVer=Current/Restated")</f>
      </c>
      <c r="E4" s="3">
        <f>SPGLabel(266637,325926,"","Options:Curr=SGD,Mag=Standard,ConvMethod=R,FilingVer=Current/Restated")</f>
      </c>
      <c r="F4" s="3">
        <f>SPGLabel(266637,327686,"","Options:Curr=SGD,Mag=Standard,ConvMethod=R,FilingVer=Current/Restated")</f>
      </c>
      <c r="G4" s="3">
        <f>SPGLabel(266637,329067,"","Options:Curr=SGD,Mag=Standard,ConvMethod=R,FilingVer=Current/Restated")</f>
      </c>
      <c r="H4" s="3">
        <f>SPGLabel(266637,329068,"","Options:Curr=SGD,Mag=Standard,ConvMethod=R,FilingVer=Current/Restated")</f>
      </c>
      <c r="I4" s="3">
        <f>SPGLabel(266637,329071,"","Options:Curr=SGD,Mag=Standard,ConvMethod=R,FilingVer=Current/Restated")</f>
      </c>
      <c r="J4" s="3">
        <f>SPGLabel(266637,329072,"","Options:Curr=SGD,Mag=Standard,ConvMethod=R,FilingVer=Current/Restated")</f>
      </c>
      <c r="K4" s="3">
        <f>SPGLabel(266637,328369,"FY0","1|Current","Options:Curr=SGD,Mag=Standard,ConvMethod=R,FilingVer=Current/Restated")</f>
      </c>
      <c r="L4" s="3">
        <f>SPGLabel(266637,328369,"FY0","2|Current","Options:Curr=SGD,Mag=Standard,ConvMethod=R,FilingVer=Current/Restated")</f>
      </c>
      <c r="M4" s="3">
        <f>SPGLabel(266637,328369,"FY0","3|Current","Options:Curr=SGD,Mag=Standard,ConvMethod=R,FilingVer=Current/Restated")</f>
      </c>
      <c r="N4" s="3">
        <f>SPGLabel(266637,328369,"FY0","4|Current","Options:Curr=SGD,Mag=Standard,ConvMethod=R,FilingVer=Current/Restated")</f>
      </c>
      <c r="O4" s="3">
        <f>SPGLabel(266637,328369,"FY0","5|Current","Options:Curr=SGD,Mag=Standard,ConvMethod=R,FilingVer=Current/Restated")</f>
      </c>
      <c r="P4" s="4">
        <f>SPGLabel(266637,328370,"FY0","1|Current","Options:Curr=SGD,Mag=Standard,ConvMethod=R,FilingVer=Current/Restated")</f>
      </c>
      <c r="Q4" s="4">
        <f>SPGLabel(266637,328370,"FY0","2|Current","Options:Curr=SGD,Mag=Standard,ConvMethod=R,FilingVer=Current/Restated")</f>
      </c>
      <c r="R4" s="4">
        <f>SPGLabel(266637,328370,"FY0","3|Current","Options:Curr=SGD,Mag=Standard,ConvMethod=R,FilingVer=Current/Restated")</f>
      </c>
      <c r="S4" s="4">
        <f>SPGLabel(266637,328370,"FY0","4|Current","Options:Curr=SGD,Mag=Standard,ConvMethod=R,FilingVer=Current/Restated")</f>
      </c>
      <c r="T4" s="4">
        <f>SPGLabel(266637,328370,"FY0","5|Current","Options:Curr=SGD,Mag=Standard,ConvMethod=R,FilingVer=Current/Restated")</f>
      </c>
      <c r="U4" s="4">
        <f>SPGLabel(266637,328371,"FY0","1|Current","Options:Curr=SGD,Mag=Standard,ConvMethod=R,FilingVer=Current/Restated")</f>
      </c>
      <c r="V4" s="4">
        <f>SPGLabel(266637,328371,"FY0","2|Current","Options:Curr=SGD,Mag=Standard,ConvMethod=R,FilingVer=Current/Restated")</f>
      </c>
      <c r="W4" s="4">
        <f>SPGLabel(266637,328371,"FY0","3|Current","Options:Curr=SGD,Mag=Standard,ConvMethod=R,FilingVer=Current/Restated")</f>
      </c>
      <c r="X4" s="4">
        <f>SPGLabel(266637,328371,"FY0","4|Current","Options:Curr=SGD,Mag=Standard,ConvMethod=R,FilingVer=Current/Restated")</f>
      </c>
      <c r="Y4" s="4">
        <f>SPGLabel(266637,328371,"FY0","5|Current","Options:Curr=SGD,Mag=Standard,ConvMethod=R,FilingVer=Current/Restated")</f>
      </c>
      <c r="Z4" s="4">
        <f>SPGLabel(266637,328372,"FY0","1|Current","Options:Curr=SGD,Mag=Standard,ConvMethod=R,FilingVer=Current/Restated")</f>
      </c>
      <c r="AA4" s="4">
        <f>SPGLabel(266637,328372,"FY0","2|Current","Options:Curr=SGD,Mag=Standard,ConvMethod=R,FilingVer=Current/Restated")</f>
      </c>
      <c r="AB4" s="4">
        <f>SPGLabel(266637,328372,"FY0","3|Current","Options:Curr=SGD,Mag=Standard,ConvMethod=R,FilingVer=Current/Restated")</f>
      </c>
      <c r="AC4" s="4">
        <f>SPGLabel(266637,328372,"FY0","4|Current","Options:Curr=SGD,Mag=Standard,ConvMethod=R,FilingVer=Current/Restated")</f>
      </c>
      <c r="AD4" s="4">
        <f>SPGLabel(266637,328372,"FY0","5|Current","Options:Curr=SGD,Mag=Standard,ConvMethod=R,FilingVer=Current/Restated")</f>
      </c>
      <c r="AE4" s="4">
        <f>SPGLabel(266637,328373,"FY0","1|Current","Options:Curr=SGD,Mag=Standard,ConvMethod=R,FilingVer=Current/Restated")</f>
      </c>
      <c r="AF4" s="4">
        <f>SPGLabel(266637,328373,"FY0","2|Current","Options:Curr=SGD,Mag=Standard,ConvMethod=R,FilingVer=Current/Restated")</f>
      </c>
      <c r="AG4" s="4">
        <f>SPGLabel(266637,328373,"FY0","3|Current","Options:Curr=SGD,Mag=Standard,ConvMethod=R,FilingVer=Current/Restated")</f>
      </c>
      <c r="AH4" s="4">
        <f>SPGLabel(266637,328373,"FY0","4|Current","Options:Curr=SGD,Mag=Standard,ConvMethod=R,FilingVer=Current/Restated")</f>
      </c>
      <c r="AI4" s="4">
        <f>SPGLabel(266637,328373,"FY0","5|Current","Options:Curr=SGD,Mag=Standard,ConvMethod=R,FilingVer=Current/Restated")</f>
      </c>
      <c r="AJ4" s="4">
        <f>SPGLabel(266637,328374,"FY0","1|Current","Options:Curr=SGD,Mag=Standard,ConvMethod=R,FilingVer=Current/Restated")</f>
      </c>
      <c r="AK4" s="4">
        <f>SPGLabel(266637,328374,"FY0","2|Current","Options:Curr=SGD,Mag=Standard,ConvMethod=R,FilingVer=Current/Restated")</f>
      </c>
      <c r="AL4" s="4">
        <f>SPGLabel(266637,328374,"FY0","3|Current","Options:Curr=SGD,Mag=Standard,ConvMethod=R,FilingVer=Current/Restated")</f>
      </c>
      <c r="AM4" s="4">
        <f>SPGLabel(266637,328374,"FY0","4|Current","Options:Curr=SGD,Mag=Standard,ConvMethod=R,FilingVer=Current/Restated")</f>
      </c>
      <c r="AN4" s="4">
        <f>SPGLabel(266637,328374,"FY0","5|Current","Options:Curr=SGD,Mag=Standard,ConvMethod=R,FilingVer=Current/Restated")</f>
      </c>
      <c r="AO4" s="4">
        <f>SPGLabel(266637,328375,"FY0","1|Current","Options:Curr=SGD,Mag=Standard,ConvMethod=R,FilingVer=Current/Restated")</f>
      </c>
      <c r="AP4" s="4">
        <f>SPGLabel(266637,328375,"FY0","2|Current","Options:Curr=SGD,Mag=Standard,ConvMethod=R,FilingVer=Current/Restated")</f>
      </c>
      <c r="AQ4" s="4">
        <f>SPGLabel(266637,328375,"FY0","3|Current","Options:Curr=SGD,Mag=Standard,ConvMethod=R,FilingVer=Current/Restated")</f>
      </c>
      <c r="AR4" s="4">
        <f>SPGLabel(266637,328375,"FY0","4|Current","Options:Curr=SGD,Mag=Standard,ConvMethod=R,FilingVer=Current/Restated")</f>
      </c>
      <c r="AS4" s="4">
        <f>SPGLabel(266637,328375,"FY0","5|Current","Options:Curr=SGD,Mag=Standard,ConvMethod=R,FilingVer=Current/Restated")</f>
      </c>
      <c r="AT4" s="4">
        <f>SPGLabel(266637,328376,"FY0","1|Current","Options:Curr=SGD,Mag=Standard,ConvMethod=R,FilingVer=Current/Restated")</f>
      </c>
      <c r="AU4" s="4">
        <f>SPGLabel(266637,328376,"FY0","2|Current","Options:Curr=SGD,Mag=Standard,ConvMethod=R,FilingVer=Current/Restated")</f>
      </c>
      <c r="AV4" s="4">
        <f>SPGLabel(266637,328376,"FY0","3|Current","Options:Curr=SGD,Mag=Standard,ConvMethod=R,FilingVer=Current/Restated")</f>
      </c>
      <c r="AW4" s="4">
        <f>SPGLabel(266637,328376,"FY0","4|Current","Options:Curr=SGD,Mag=Standard,ConvMethod=R,FilingVer=Current/Restated")</f>
      </c>
      <c r="AX4" s="4">
        <f>SPGLabel(266637,328376,"FY0","5|Current","Options:Curr=SGD,Mag=Standard,ConvMethod=R,FilingVer=Current/Restated")</f>
      </c>
      <c r="AY4" s="4">
        <f>SPGLabel(266637,328377,"FY0","1|Current","Options:Curr=SGD,Mag=Standard,ConvMethod=R,FilingVer=Current/Restated")</f>
      </c>
      <c r="AZ4" s="4">
        <f>SPGLabel(266637,328377,"FY0","2|Current","Options:Curr=SGD,Mag=Standard,ConvMethod=R,FilingVer=Current/Restated")</f>
      </c>
      <c r="BA4" s="4">
        <f>SPGLabel(266637,328377,"FY0","3|Current","Options:Curr=SGD,Mag=Standard,ConvMethod=R,FilingVer=Current/Restated")</f>
      </c>
      <c r="BB4" s="4">
        <f>SPGLabel(266637,328377,"FY0","4|Current","Options:Curr=SGD,Mag=Standard,ConvMethod=R,FilingVer=Current/Restated")</f>
      </c>
      <c r="BC4" s="4">
        <f>SPGLabel(266637,328377,"FY0","5|Current","Options:Curr=SGD,Mag=Standard,ConvMethod=R,FilingVer=Current/Restated")</f>
      </c>
      <c r="BD4" s="4">
        <f>SPGLabel(266637,328378,"FY0","1|Current","Options:Curr=SGD,Mag=Standard,ConvMethod=R,FilingVer=Current/Restated")</f>
      </c>
      <c r="BE4" s="4">
        <f>SPGLabel(266637,328378,"FY0","2|Current","Options:Curr=SGD,Mag=Standard,ConvMethod=R,FilingVer=Current/Restated")</f>
      </c>
      <c r="BF4" s="4">
        <f>SPGLabel(266637,328378,"FY0","3|Current","Options:Curr=SGD,Mag=Standard,ConvMethod=R,FilingVer=Current/Restated")</f>
      </c>
      <c r="BG4" s="4">
        <f>SPGLabel(266637,328378,"FY0","4|Current","Options:Curr=SGD,Mag=Standard,ConvMethod=R,FilingVer=Current/Restated")</f>
      </c>
      <c r="BH4" s="4">
        <f>SPGLabel(266637,328378,"FY0","5|Current","Options:Curr=SGD,Mag=Standard,ConvMethod=R,FilingVer=Current/Restated")</f>
      </c>
      <c r="BI4" s="4">
        <f>SPGLabel(266637,328379,"FY0","1|Current","Options:Curr=SGD,Mag=Standard,ConvMethod=R,FilingVer=Current/Restated")</f>
      </c>
      <c r="BJ4" s="4">
        <f>SPGLabel(266637,328379,"FY0","2|Current","Options:Curr=SGD,Mag=Standard,ConvMethod=R,FilingVer=Current/Restated")</f>
      </c>
      <c r="BK4" s="4">
        <f>SPGLabel(266637,328379,"FY0","3|Current","Options:Curr=SGD,Mag=Standard,ConvMethod=R,FilingVer=Current/Restated")</f>
      </c>
      <c r="BL4" s="4">
        <f>SPGLabel(266637,328379,"FY0","4|Current","Options:Curr=SGD,Mag=Standard,ConvMethod=R,FilingVer=Current/Restated")</f>
      </c>
      <c r="BM4" s="4">
        <f>SPGLabel(266637,328379,"FY0","5|Current","Options:Curr=SGD,Mag=Standard,ConvMethod=R,FilingVer=Current/Restated")</f>
      </c>
      <c r="BN4" s="4">
        <f>SPGLabel(266637,328380,"FY0","1|Current","Options:Curr=SGD,Mag=Standard,ConvMethod=R,FilingVer=Current/Restated")</f>
      </c>
      <c r="BO4" s="4">
        <f>SPGLabel(266637,328380,"FY0","2|Current","Options:Curr=SGD,Mag=Standard,ConvMethod=R,FilingVer=Current/Restated")</f>
      </c>
      <c r="BP4" s="4">
        <f>SPGLabel(266637,328380,"FY0","3|Current","Options:Curr=SGD,Mag=Standard,ConvMethod=R,FilingVer=Current/Restated")</f>
      </c>
      <c r="BQ4" s="4">
        <f>SPGLabel(266637,328380,"FY0","4|Current","Options:Curr=SGD,Mag=Standard,ConvMethod=R,FilingVer=Current/Restated")</f>
      </c>
      <c r="BR4" s="4">
        <f>SPGLabel(266637,328380,"FY0","5|Current","Options:Curr=SGD,Mag=Standard,ConvMethod=R,FilingVer=Current/Restated")</f>
      </c>
      <c r="BS4" s="4">
        <f>SPGLabel(266637,328381,"FY0","1|Current","Options:Curr=SGD,Mag=Standard,ConvMethod=R,FilingVer=Current/Restated")</f>
      </c>
      <c r="BT4" s="4">
        <f>SPGLabel(266637,328381,"FY0","2|Current","Options:Curr=SGD,Mag=Standard,ConvMethod=R,FilingVer=Current/Restated")</f>
      </c>
      <c r="BU4" s="4">
        <f>SPGLabel(266637,328381,"FY0","3|Current","Options:Curr=SGD,Mag=Standard,ConvMethod=R,FilingVer=Current/Restated")</f>
      </c>
      <c r="BV4" s="4">
        <f>SPGLabel(266637,328381,"FY0","4|Current","Options:Curr=SGD,Mag=Standard,ConvMethod=R,FilingVer=Current/Restated")</f>
      </c>
      <c r="BW4" s="4">
        <f>SPGLabel(266637,328381,"FY0","5|Current","Options:Curr=SGD,Mag=Standard,ConvMethod=R,FilingVer=Current/Restated")</f>
      </c>
    </row>
    <row r="5" spans="1:75" ht="15">
      <c r="A5" s="3" t="s">
        <v>0</v>
      </c>
      <c r="B5" s="3" t="s">
        <v>1</v>
      </c>
      <c r="C5" s="3" t="s">
        <v>2</v>
      </c>
      <c r="D5" s="3" t="s">
        <v>3</v>
      </c>
      <c r="E5" s="3" t="s">
        <v>4</v>
      </c>
      <c r="F5" s="3" t="s">
        <v>5</v>
      </c>
      <c r="G5" s="3" t="s">
        <v>6</v>
      </c>
      <c r="H5" s="3" t="s">
        <v>7</v>
      </c>
      <c r="I5" s="3" t="s">
        <v>8</v>
      </c>
      <c r="J5" s="3" t="s">
        <v>9</v>
      </c>
      <c r="K5" s="3" t="s">
        <v>10</v>
      </c>
      <c r="L5" s="3" t="s">
        <v>10</v>
      </c>
      <c r="M5" s="3" t="s">
        <v>10</v>
      </c>
      <c r="N5" s="3" t="s">
        <v>10</v>
      </c>
      <c r="O5" s="3" t="s">
        <v>10</v>
      </c>
      <c r="P5" s="4" t="s">
        <v>11</v>
      </c>
      <c r="Q5" s="4" t="s">
        <v>11</v>
      </c>
      <c r="R5" s="4" t="s">
        <v>11</v>
      </c>
      <c r="S5" s="4" t="s">
        <v>11</v>
      </c>
      <c r="T5" s="4" t="s">
        <v>11</v>
      </c>
      <c r="U5" s="4" t="s">
        <v>12</v>
      </c>
      <c r="V5" s="4" t="s">
        <v>12</v>
      </c>
      <c r="W5" s="4" t="s">
        <v>12</v>
      </c>
      <c r="X5" s="4" t="s">
        <v>12</v>
      </c>
      <c r="Y5" s="4" t="s">
        <v>12</v>
      </c>
      <c r="Z5" s="4" t="s">
        <v>13</v>
      </c>
      <c r="AA5" s="4" t="s">
        <v>13</v>
      </c>
      <c r="AB5" s="4" t="s">
        <v>13</v>
      </c>
      <c r="AC5" s="4" t="s">
        <v>13</v>
      </c>
      <c r="AD5" s="4" t="s">
        <v>13</v>
      </c>
      <c r="AE5" s="4" t="s">
        <v>14</v>
      </c>
      <c r="AF5" s="4" t="s">
        <v>14</v>
      </c>
      <c r="AG5" s="4" t="s">
        <v>14</v>
      </c>
      <c r="AH5" s="4" t="s">
        <v>14</v>
      </c>
      <c r="AI5" s="4" t="s">
        <v>14</v>
      </c>
      <c r="AJ5" s="4" t="s">
        <v>15</v>
      </c>
      <c r="AK5" s="4" t="s">
        <v>15</v>
      </c>
      <c r="AL5" s="4" t="s">
        <v>15</v>
      </c>
      <c r="AM5" s="4" t="s">
        <v>15</v>
      </c>
      <c r="AN5" s="4" t="s">
        <v>15</v>
      </c>
      <c r="AO5" s="4" t="s">
        <v>16</v>
      </c>
      <c r="AP5" s="4" t="s">
        <v>16</v>
      </c>
      <c r="AQ5" s="4" t="s">
        <v>16</v>
      </c>
      <c r="AR5" s="4" t="s">
        <v>16</v>
      </c>
      <c r="AS5" s="4" t="s">
        <v>16</v>
      </c>
      <c r="AT5" s="4" t="s">
        <v>17</v>
      </c>
      <c r="AU5" s="4" t="s">
        <v>17</v>
      </c>
      <c r="AV5" s="4" t="s">
        <v>17</v>
      </c>
      <c r="AW5" s="4" t="s">
        <v>17</v>
      </c>
      <c r="AX5" s="4" t="s">
        <v>17</v>
      </c>
      <c r="AY5" s="4" t="s">
        <v>18</v>
      </c>
      <c r="AZ5" s="4" t="s">
        <v>18</v>
      </c>
      <c r="BA5" s="4" t="s">
        <v>18</v>
      </c>
      <c r="BB5" s="4" t="s">
        <v>18</v>
      </c>
      <c r="BC5" s="4" t="s">
        <v>18</v>
      </c>
      <c r="BD5" s="4" t="s">
        <v>19</v>
      </c>
      <c r="BE5" s="4" t="s">
        <v>19</v>
      </c>
      <c r="BF5" s="4" t="s">
        <v>19</v>
      </c>
      <c r="BG5" s="4" t="s">
        <v>19</v>
      </c>
      <c r="BH5" s="4" t="s">
        <v>19</v>
      </c>
      <c r="BI5" s="4" t="s">
        <v>20</v>
      </c>
      <c r="BJ5" s="4" t="s">
        <v>20</v>
      </c>
      <c r="BK5" s="4" t="s">
        <v>20</v>
      </c>
      <c r="BL5" s="4" t="s">
        <v>20</v>
      </c>
      <c r="BM5" s="4" t="s">
        <v>20</v>
      </c>
      <c r="BN5" s="4" t="s">
        <v>21</v>
      </c>
      <c r="BO5" s="4" t="s">
        <v>21</v>
      </c>
      <c r="BP5" s="4" t="s">
        <v>21</v>
      </c>
      <c r="BQ5" s="4" t="s">
        <v>21</v>
      </c>
      <c r="BR5" s="4" t="s">
        <v>21</v>
      </c>
      <c r="BS5" s="4" t="s">
        <v>22</v>
      </c>
      <c r="BT5" s="4" t="s">
        <v>22</v>
      </c>
      <c r="BU5" s="4" t="s">
        <v>22</v>
      </c>
      <c r="BV5" s="4" t="s">
        <v>22</v>
      </c>
      <c r="BW5" s="4" t="s">
        <v>22</v>
      </c>
    </row>
    <row r="6" spans="1:75" ht="15">
      <c r="A6" s="3"/>
      <c r="B6" s="3"/>
      <c r="C6" s="3"/>
      <c r="D6" s="3"/>
      <c r="E6" s="3"/>
      <c r="F6" s="3"/>
      <c r="G6" s="3"/>
      <c r="H6" s="3"/>
      <c r="I6" s="3"/>
      <c r="J6" s="3"/>
      <c r="K6" s="3" t="s">
        <v>24</v>
      </c>
      <c r="L6" s="3" t="s">
        <v>24</v>
      </c>
      <c r="M6" s="3" t="s">
        <v>24</v>
      </c>
      <c r="N6" s="3" t="s">
        <v>24</v>
      </c>
      <c r="O6" s="3" t="s">
        <v>24</v>
      </c>
      <c r="P6" s="4" t="s">
        <v>24</v>
      </c>
      <c r="Q6" s="4" t="s">
        <v>24</v>
      </c>
      <c r="R6" s="4" t="s">
        <v>24</v>
      </c>
      <c r="S6" s="4" t="s">
        <v>24</v>
      </c>
      <c r="T6" s="4" t="s">
        <v>24</v>
      </c>
      <c r="U6" s="4" t="s">
        <v>24</v>
      </c>
      <c r="V6" s="4" t="s">
        <v>24</v>
      </c>
      <c r="W6" s="4" t="s">
        <v>24</v>
      </c>
      <c r="X6" s="4" t="s">
        <v>24</v>
      </c>
      <c r="Y6" s="4" t="s">
        <v>24</v>
      </c>
      <c r="Z6" s="4" t="s">
        <v>24</v>
      </c>
      <c r="AA6" s="4" t="s">
        <v>24</v>
      </c>
      <c r="AB6" s="4" t="s">
        <v>24</v>
      </c>
      <c r="AC6" s="4" t="s">
        <v>24</v>
      </c>
      <c r="AD6" s="4" t="s">
        <v>24</v>
      </c>
      <c r="AE6" s="4" t="s">
        <v>24</v>
      </c>
      <c r="AF6" s="4" t="s">
        <v>24</v>
      </c>
      <c r="AG6" s="4" t="s">
        <v>24</v>
      </c>
      <c r="AH6" s="4" t="s">
        <v>24</v>
      </c>
      <c r="AI6" s="4" t="s">
        <v>24</v>
      </c>
      <c r="AJ6" s="4" t="s">
        <v>24</v>
      </c>
      <c r="AK6" s="4" t="s">
        <v>24</v>
      </c>
      <c r="AL6" s="4" t="s">
        <v>24</v>
      </c>
      <c r="AM6" s="4" t="s">
        <v>24</v>
      </c>
      <c r="AN6" s="4" t="s">
        <v>24</v>
      </c>
      <c r="AO6" s="4" t="s">
        <v>24</v>
      </c>
      <c r="AP6" s="4" t="s">
        <v>24</v>
      </c>
      <c r="AQ6" s="4" t="s">
        <v>24</v>
      </c>
      <c r="AR6" s="4" t="s">
        <v>24</v>
      </c>
      <c r="AS6" s="4" t="s">
        <v>24</v>
      </c>
      <c r="AT6" s="4" t="s">
        <v>24</v>
      </c>
      <c r="AU6" s="4" t="s">
        <v>24</v>
      </c>
      <c r="AV6" s="4" t="s">
        <v>24</v>
      </c>
      <c r="AW6" s="4" t="s">
        <v>24</v>
      </c>
      <c r="AX6" s="4" t="s">
        <v>24</v>
      </c>
      <c r="AY6" s="4" t="s">
        <v>24</v>
      </c>
      <c r="AZ6" s="4" t="s">
        <v>24</v>
      </c>
      <c r="BA6" s="4" t="s">
        <v>24</v>
      </c>
      <c r="BB6" s="4" t="s">
        <v>24</v>
      </c>
      <c r="BC6" s="4" t="s">
        <v>24</v>
      </c>
      <c r="BD6" s="4" t="s">
        <v>24</v>
      </c>
      <c r="BE6" s="4" t="s">
        <v>24</v>
      </c>
      <c r="BF6" s="4" t="s">
        <v>24</v>
      </c>
      <c r="BG6" s="4" t="s">
        <v>24</v>
      </c>
      <c r="BH6" s="4" t="s">
        <v>24</v>
      </c>
      <c r="BI6" s="4" t="s">
        <v>24</v>
      </c>
      <c r="BJ6" s="4" t="s">
        <v>24</v>
      </c>
      <c r="BK6" s="4" t="s">
        <v>24</v>
      </c>
      <c r="BL6" s="4" t="s">
        <v>24</v>
      </c>
      <c r="BM6" s="4" t="s">
        <v>24</v>
      </c>
      <c r="BN6" s="4" t="s">
        <v>24</v>
      </c>
      <c r="BO6" s="4" t="s">
        <v>24</v>
      </c>
      <c r="BP6" s="4" t="s">
        <v>24</v>
      </c>
      <c r="BQ6" s="4" t="s">
        <v>24</v>
      </c>
      <c r="BR6" s="4" t="s">
        <v>24</v>
      </c>
      <c r="BS6" s="4" t="s">
        <v>24</v>
      </c>
      <c r="BT6" s="4" t="s">
        <v>24</v>
      </c>
      <c r="BU6" s="4" t="s">
        <v>24</v>
      </c>
      <c r="BV6" s="4" t="s">
        <v>24</v>
      </c>
      <c r="BW6" s="4" t="s">
        <v>24</v>
      </c>
    </row>
    <row r="7" spans="1:75" ht="15">
      <c r="A7" s="3"/>
      <c r="B7" s="3"/>
      <c r="C7" s="3"/>
      <c r="D7" s="3"/>
      <c r="E7" s="3"/>
      <c r="F7" s="3"/>
      <c r="G7" s="3"/>
      <c r="H7" s="3"/>
      <c r="I7" s="3"/>
      <c r="J7" s="3"/>
      <c r="K7" s="3">
        <f>SPGLabel(266637,328369,"","&lt;&gt;1|Current","Options:Curr=SGD,Mag=Standard,ConvMethod=R,FilingVer=Current/Restated")</f>
      </c>
      <c r="L7" s="3">
        <f>SPGLabel(266637,328369,"","&lt;&gt;2|Current","Options:Curr=SGD,Mag=Standard,ConvMethod=R,FilingVer=Current/Restated")</f>
      </c>
      <c r="M7" s="3">
        <f>SPGLabel(266637,328369,"","&lt;&gt;3|Current","Options:Curr=SGD,Mag=Standard,ConvMethod=R,FilingVer=Current/Restated")</f>
      </c>
      <c r="N7" s="3">
        <f>SPGLabel(266637,328369,"","&lt;&gt;4|Current","Options:Curr=SGD,Mag=Standard,ConvMethod=R,FilingVer=Current/Restated")</f>
      </c>
      <c r="O7" s="3">
        <f>SPGLabel(266637,328369,"","&lt;&gt;5|Current","Options:Curr=SGD,Mag=Standard,ConvMethod=R,FilingVer=Current/Restated")</f>
      </c>
      <c r="P7" s="4">
        <f>SPGLabel(266637,328370,"","&lt;&gt;1|Current","Options:Curr=SGD,Mag=Standard,ConvMethod=R,FilingVer=Current/Restated")</f>
      </c>
      <c r="Q7" s="4">
        <f>SPGLabel(266637,328370,"","&lt;&gt;2|Current","Options:Curr=SGD,Mag=Standard,ConvMethod=R,FilingVer=Current/Restated")</f>
      </c>
      <c r="R7" s="4">
        <f>SPGLabel(266637,328370,"","&lt;&gt;3|Current","Options:Curr=SGD,Mag=Standard,ConvMethod=R,FilingVer=Current/Restated")</f>
      </c>
      <c r="S7" s="4">
        <f>SPGLabel(266637,328370,"","&lt;&gt;4|Current","Options:Curr=SGD,Mag=Standard,ConvMethod=R,FilingVer=Current/Restated")</f>
      </c>
      <c r="T7" s="4">
        <f>SPGLabel(266637,328370,"","&lt;&gt;5|Current","Options:Curr=SGD,Mag=Standard,ConvMethod=R,FilingVer=Current/Restated")</f>
      </c>
      <c r="U7" s="4">
        <f>SPGLabel(266637,328371,"","&lt;&gt;1|Current","Options:Curr=SGD,Mag=Standard,ConvMethod=R,FilingVer=Current/Restated")</f>
      </c>
      <c r="V7" s="4">
        <f>SPGLabel(266637,328371,"","&lt;&gt;2|Current","Options:Curr=SGD,Mag=Standard,ConvMethod=R,FilingVer=Current/Restated")</f>
      </c>
      <c r="W7" s="4">
        <f>SPGLabel(266637,328371,"","&lt;&gt;3|Current","Options:Curr=SGD,Mag=Standard,ConvMethod=R,FilingVer=Current/Restated")</f>
      </c>
      <c r="X7" s="4">
        <f>SPGLabel(266637,328371,"","&lt;&gt;4|Current","Options:Curr=SGD,Mag=Standard,ConvMethod=R,FilingVer=Current/Restated")</f>
      </c>
      <c r="Y7" s="4">
        <f>SPGLabel(266637,328371,"","&lt;&gt;5|Current","Options:Curr=SGD,Mag=Standard,ConvMethod=R,FilingVer=Current/Restated")</f>
      </c>
      <c r="Z7" s="4">
        <f>SPGLabel(266637,328372,"","&lt;&gt;1|Current","Options:Curr=SGD,Mag=Standard,ConvMethod=R,FilingVer=Current/Restated")</f>
      </c>
      <c r="AA7" s="4">
        <f>SPGLabel(266637,328372,"","&lt;&gt;2|Current","Options:Curr=SGD,Mag=Standard,ConvMethod=R,FilingVer=Current/Restated")</f>
      </c>
      <c r="AB7" s="4">
        <f>SPGLabel(266637,328372,"","&lt;&gt;3|Current","Options:Curr=SGD,Mag=Standard,ConvMethod=R,FilingVer=Current/Restated")</f>
      </c>
      <c r="AC7" s="4">
        <f>SPGLabel(266637,328372,"","&lt;&gt;4|Current","Options:Curr=SGD,Mag=Standard,ConvMethod=R,FilingVer=Current/Restated")</f>
      </c>
      <c r="AD7" s="4">
        <f>SPGLabel(266637,328372,"","&lt;&gt;5|Current","Options:Curr=SGD,Mag=Standard,ConvMethod=R,FilingVer=Current/Restated")</f>
      </c>
      <c r="AE7" s="4">
        <f>SPGLabel(266637,328373,"","&lt;&gt;1|Current","Options:Curr=SGD,Mag=Standard,ConvMethod=R,FilingVer=Current/Restated")</f>
      </c>
      <c r="AF7" s="4">
        <f>SPGLabel(266637,328373,"","&lt;&gt;2|Current","Options:Curr=SGD,Mag=Standard,ConvMethod=R,FilingVer=Current/Restated")</f>
      </c>
      <c r="AG7" s="4">
        <f>SPGLabel(266637,328373,"","&lt;&gt;3|Current","Options:Curr=SGD,Mag=Standard,ConvMethod=R,FilingVer=Current/Restated")</f>
      </c>
      <c r="AH7" s="4">
        <f>SPGLabel(266637,328373,"","&lt;&gt;4|Current","Options:Curr=SGD,Mag=Standard,ConvMethod=R,FilingVer=Current/Restated")</f>
      </c>
      <c r="AI7" s="4">
        <f>SPGLabel(266637,328373,"","&lt;&gt;5|Current","Options:Curr=SGD,Mag=Standard,ConvMethod=R,FilingVer=Current/Restated")</f>
      </c>
      <c r="AJ7" s="4">
        <f>SPGLabel(266637,328374,"","&lt;&gt;1|Current","Options:Curr=SGD,Mag=Standard,ConvMethod=R,FilingVer=Current/Restated")</f>
      </c>
      <c r="AK7" s="4">
        <f>SPGLabel(266637,328374,"","&lt;&gt;2|Current","Options:Curr=SGD,Mag=Standard,ConvMethod=R,FilingVer=Current/Restated")</f>
      </c>
      <c r="AL7" s="4">
        <f>SPGLabel(266637,328374,"","&lt;&gt;3|Current","Options:Curr=SGD,Mag=Standard,ConvMethod=R,FilingVer=Current/Restated")</f>
      </c>
      <c r="AM7" s="4">
        <f>SPGLabel(266637,328374,"","&lt;&gt;4|Current","Options:Curr=SGD,Mag=Standard,ConvMethod=R,FilingVer=Current/Restated")</f>
      </c>
      <c r="AN7" s="4">
        <f>SPGLabel(266637,328374,"","&lt;&gt;5|Current","Options:Curr=SGD,Mag=Standard,ConvMethod=R,FilingVer=Current/Restated")</f>
      </c>
      <c r="AO7" s="4">
        <f>SPGLabel(266637,328375,"","&lt;&gt;1|Current","Options:Curr=SGD,Mag=Standard,ConvMethod=R,FilingVer=Current/Restated")</f>
      </c>
      <c r="AP7" s="4">
        <f>SPGLabel(266637,328375,"","&lt;&gt;2|Current","Options:Curr=SGD,Mag=Standard,ConvMethod=R,FilingVer=Current/Restated")</f>
      </c>
      <c r="AQ7" s="4">
        <f>SPGLabel(266637,328375,"","&lt;&gt;3|Current","Options:Curr=SGD,Mag=Standard,ConvMethod=R,FilingVer=Current/Restated")</f>
      </c>
      <c r="AR7" s="4">
        <f>SPGLabel(266637,328375,"","&lt;&gt;4|Current","Options:Curr=SGD,Mag=Standard,ConvMethod=R,FilingVer=Current/Restated")</f>
      </c>
      <c r="AS7" s="4">
        <f>SPGLabel(266637,328375,"","&lt;&gt;5|Current","Options:Curr=SGD,Mag=Standard,ConvMethod=R,FilingVer=Current/Restated")</f>
      </c>
      <c r="AT7" s="4">
        <f>SPGLabel(266637,328376,"","&lt;&gt;1|Current","Options:Curr=SGD,Mag=Standard,ConvMethod=R,FilingVer=Current/Restated")</f>
      </c>
      <c r="AU7" s="4">
        <f>SPGLabel(266637,328376,"","&lt;&gt;2|Current","Options:Curr=SGD,Mag=Standard,ConvMethod=R,FilingVer=Current/Restated")</f>
      </c>
      <c r="AV7" s="4">
        <f>SPGLabel(266637,328376,"","&lt;&gt;3|Current","Options:Curr=SGD,Mag=Standard,ConvMethod=R,FilingVer=Current/Restated")</f>
      </c>
      <c r="AW7" s="4">
        <f>SPGLabel(266637,328376,"","&lt;&gt;4|Current","Options:Curr=SGD,Mag=Standard,ConvMethod=R,FilingVer=Current/Restated")</f>
      </c>
      <c r="AX7" s="4">
        <f>SPGLabel(266637,328376,"","&lt;&gt;5|Current","Options:Curr=SGD,Mag=Standard,ConvMethod=R,FilingVer=Current/Restated")</f>
      </c>
      <c r="AY7" s="4">
        <f>SPGLabel(266637,328377,"","&lt;&gt;1|Current","Options:Curr=SGD,Mag=Standard,ConvMethod=R,FilingVer=Current/Restated")</f>
      </c>
      <c r="AZ7" s="4">
        <f>SPGLabel(266637,328377,"","&lt;&gt;2|Current","Options:Curr=SGD,Mag=Standard,ConvMethod=R,FilingVer=Current/Restated")</f>
      </c>
      <c r="BA7" s="4">
        <f>SPGLabel(266637,328377,"","&lt;&gt;3|Current","Options:Curr=SGD,Mag=Standard,ConvMethod=R,FilingVer=Current/Restated")</f>
      </c>
      <c r="BB7" s="4">
        <f>SPGLabel(266637,328377,"","&lt;&gt;4|Current","Options:Curr=SGD,Mag=Standard,ConvMethod=R,FilingVer=Current/Restated")</f>
      </c>
      <c r="BC7" s="4">
        <f>SPGLabel(266637,328377,"","&lt;&gt;5|Current","Options:Curr=SGD,Mag=Standard,ConvMethod=R,FilingVer=Current/Restated")</f>
      </c>
      <c r="BD7" s="4">
        <f>SPGLabel(266637,328378,"","&lt;&gt;1|Current","Options:Curr=SGD,Mag=Standard,ConvMethod=R,FilingVer=Current/Restated")</f>
      </c>
      <c r="BE7" s="4">
        <f>SPGLabel(266637,328378,"","&lt;&gt;2|Current","Options:Curr=SGD,Mag=Standard,ConvMethod=R,FilingVer=Current/Restated")</f>
      </c>
      <c r="BF7" s="4">
        <f>SPGLabel(266637,328378,"","&lt;&gt;3|Current","Options:Curr=SGD,Mag=Standard,ConvMethod=R,FilingVer=Current/Restated")</f>
      </c>
      <c r="BG7" s="4">
        <f>SPGLabel(266637,328378,"","&lt;&gt;4|Current","Options:Curr=SGD,Mag=Standard,ConvMethod=R,FilingVer=Current/Restated")</f>
      </c>
      <c r="BH7" s="4">
        <f>SPGLabel(266637,328378,"","&lt;&gt;5|Current","Options:Curr=SGD,Mag=Standard,ConvMethod=R,FilingVer=Current/Restated")</f>
      </c>
      <c r="BI7" s="4">
        <f>SPGLabel(266637,328379,"","&lt;&gt;1|Current","Options:Curr=SGD,Mag=Standard,ConvMethod=R,FilingVer=Current/Restated")</f>
      </c>
      <c r="BJ7" s="4">
        <f>SPGLabel(266637,328379,"","&lt;&gt;2|Current","Options:Curr=SGD,Mag=Standard,ConvMethod=R,FilingVer=Current/Restated")</f>
      </c>
      <c r="BK7" s="4">
        <f>SPGLabel(266637,328379,"","&lt;&gt;3|Current","Options:Curr=SGD,Mag=Standard,ConvMethod=R,FilingVer=Current/Restated")</f>
      </c>
      <c r="BL7" s="4">
        <f>SPGLabel(266637,328379,"","&lt;&gt;4|Current","Options:Curr=SGD,Mag=Standard,ConvMethod=R,FilingVer=Current/Restated")</f>
      </c>
      <c r="BM7" s="4">
        <f>SPGLabel(266637,328379,"","&lt;&gt;5|Current","Options:Curr=SGD,Mag=Standard,ConvMethod=R,FilingVer=Current/Restated")</f>
      </c>
      <c r="BN7" s="4">
        <f>SPGLabel(266637,328380,"","&lt;&gt;1|Current","Options:Curr=SGD,Mag=Standard,ConvMethod=R,FilingVer=Current/Restated")</f>
      </c>
      <c r="BO7" s="4">
        <f>SPGLabel(266637,328380,"","&lt;&gt;2|Current","Options:Curr=SGD,Mag=Standard,ConvMethod=R,FilingVer=Current/Restated")</f>
      </c>
      <c r="BP7" s="4">
        <f>SPGLabel(266637,328380,"","&lt;&gt;3|Current","Options:Curr=SGD,Mag=Standard,ConvMethod=R,FilingVer=Current/Restated")</f>
      </c>
      <c r="BQ7" s="4">
        <f>SPGLabel(266637,328380,"","&lt;&gt;4|Current","Options:Curr=SGD,Mag=Standard,ConvMethod=R,FilingVer=Current/Restated")</f>
      </c>
      <c r="BR7" s="4">
        <f>SPGLabel(266637,328380,"","&lt;&gt;5|Current","Options:Curr=SGD,Mag=Standard,ConvMethod=R,FilingVer=Current/Restated")</f>
      </c>
      <c r="BS7" s="4">
        <f>SPGLabel(266637,328381,"","&lt;&gt;1|Current","Options:Curr=SGD,Mag=Standard,ConvMethod=R,FilingVer=Current/Restated")</f>
      </c>
      <c r="BT7" s="4">
        <f>SPGLabel(266637,328381,"","&lt;&gt;2|Current","Options:Curr=SGD,Mag=Standard,ConvMethod=R,FilingVer=Current/Restated")</f>
      </c>
      <c r="BU7" s="4">
        <f>SPGLabel(266637,328381,"","&lt;&gt;3|Current","Options:Curr=SGD,Mag=Standard,ConvMethod=R,FilingVer=Current/Restated")</f>
      </c>
      <c r="BV7" s="4">
        <f>SPGLabel(266637,328381,"","&lt;&gt;4|Current","Options:Curr=SGD,Mag=Standard,ConvMethod=R,FilingVer=Current/Restated")</f>
      </c>
      <c r="BW7" s="4">
        <f>SPGLabel(266637,328381,"","&lt;&gt;5|Current","Options:Curr=SGD,Mag=Standard,ConvMethod=R,FilingVer=Current/Restated")</f>
      </c>
    </row>
    <row r="8" spans="1:75" ht="15">
      <c r="A8" s="2" t="s">
        <v>25</v>
      </c>
      <c r="B8" s="5">
        <v>4279124</v>
      </c>
      <c r="C8" s="2" t="s">
        <v>26</v>
      </c>
      <c r="D8" s="2" t="s">
        <v>27</v>
      </c>
      <c r="E8" s="2" t="s">
        <v>28</v>
      </c>
      <c r="F8" s="2" t="s">
        <v>29</v>
      </c>
      <c r="G8" s="2" t="s">
        <v>30</v>
      </c>
      <c r="H8" s="2" t="s">
        <v>31</v>
      </c>
      <c r="I8" s="2" t="s">
        <v>32</v>
      </c>
      <c r="J8" s="2" t="s">
        <v>32</v>
      </c>
      <c r="K8" s="2" t="s">
        <v>33</v>
      </c>
      <c r="L8" s="2" t="s">
        <v>34</v>
      </c>
      <c r="M8" s="2" t="s">
        <v>35</v>
      </c>
      <c r="N8" s="2" t="s">
        <v>36</v>
      </c>
      <c r="O8" s="2" t="s">
        <v>37</v>
      </c>
      <c r="P8" s="6" t="s">
        <v>38</v>
      </c>
      <c r="Q8" s="6" t="s">
        <v>38</v>
      </c>
      <c r="R8" s="6" t="s">
        <v>38</v>
      </c>
      <c r="S8" s="6" t="s">
        <v>38</v>
      </c>
      <c r="T8" s="6" t="s">
        <v>38</v>
      </c>
      <c r="U8" s="7">
        <v>46181818.948456101</v>
      </c>
      <c r="V8" s="7">
        <v>424840.70787243301</v>
      </c>
      <c r="W8" s="7">
        <v>-16259416.4248819</v>
      </c>
      <c r="X8" s="6" t="s">
        <v>38</v>
      </c>
      <c r="Y8" s="7">
        <v>100621342.989289</v>
      </c>
      <c r="Z8" s="6" t="s">
        <v>38</v>
      </c>
      <c r="AA8" s="6" t="s">
        <v>38</v>
      </c>
      <c r="AB8" s="6" t="s">
        <v>38</v>
      </c>
      <c r="AC8" s="6" t="s">
        <v>38</v>
      </c>
      <c r="AD8" s="6" t="s">
        <v>38</v>
      </c>
      <c r="AE8" s="7">
        <v>-6488261.699674</v>
      </c>
      <c r="AF8" s="7">
        <v>-935012.66903548397</v>
      </c>
      <c r="AG8" s="7">
        <v>-439365.17651764501</v>
      </c>
      <c r="AH8" s="7">
        <v>-2029794.49316829</v>
      </c>
      <c r="AI8" s="7">
        <v>19518888.744725399</v>
      </c>
      <c r="AJ8" s="6" t="s">
        <v>38</v>
      </c>
      <c r="AK8" s="6" t="s">
        <v>38</v>
      </c>
      <c r="AL8" s="6" t="s">
        <v>38</v>
      </c>
      <c r="AM8" s="6" t="s">
        <v>38</v>
      </c>
      <c r="AN8" s="6" t="s">
        <v>38</v>
      </c>
      <c r="AO8" s="6" t="s">
        <v>38</v>
      </c>
      <c r="AP8" s="6" t="s">
        <v>38</v>
      </c>
      <c r="AQ8" s="6" t="s">
        <v>38</v>
      </c>
      <c r="AR8" s="6" t="s">
        <v>38</v>
      </c>
      <c r="AS8" s="6" t="s">
        <v>38</v>
      </c>
      <c r="AT8" s="6" t="s">
        <v>38</v>
      </c>
      <c r="AU8" s="6" t="s">
        <v>38</v>
      </c>
      <c r="AV8" s="6" t="s">
        <v>38</v>
      </c>
      <c r="AW8" s="6" t="s">
        <v>38</v>
      </c>
      <c r="AX8" s="6" t="s">
        <v>38</v>
      </c>
      <c r="AY8" s="7">
        <v>651603.97459579597</v>
      </c>
      <c r="AZ8" s="6" t="s">
        <v>38</v>
      </c>
      <c r="BA8" s="6" t="s">
        <v>38</v>
      </c>
      <c r="BB8" s="6" t="s">
        <v>38</v>
      </c>
      <c r="BC8" s="7">
        <v>17066.250658123401</v>
      </c>
      <c r="BD8" s="6" t="s">
        <v>38</v>
      </c>
      <c r="BE8" s="6" t="s">
        <v>38</v>
      </c>
      <c r="BF8" s="6" t="s">
        <v>38</v>
      </c>
      <c r="BG8" s="6" t="s">
        <v>38</v>
      </c>
      <c r="BH8" s="6" t="s">
        <v>38</v>
      </c>
      <c r="BI8" s="6" t="s">
        <v>38</v>
      </c>
      <c r="BJ8" s="6" t="s">
        <v>38</v>
      </c>
      <c r="BK8" s="6" t="s">
        <v>38</v>
      </c>
      <c r="BL8" s="6" t="s">
        <v>38</v>
      </c>
      <c r="BM8" s="6" t="s">
        <v>38</v>
      </c>
      <c r="BN8" s="6" t="s">
        <v>38</v>
      </c>
      <c r="BO8" s="6" t="s">
        <v>38</v>
      </c>
      <c r="BP8" s="6" t="s">
        <v>38</v>
      </c>
      <c r="BQ8" s="6" t="s">
        <v>38</v>
      </c>
      <c r="BR8" s="6" t="s">
        <v>38</v>
      </c>
      <c r="BS8" s="6" t="s">
        <v>38</v>
      </c>
      <c r="BT8" s="6" t="s">
        <v>38</v>
      </c>
      <c r="BU8" s="6" t="s">
        <v>38</v>
      </c>
      <c r="BV8" s="6" t="s">
        <v>38</v>
      </c>
      <c r="BW8" s="6" t="s">
        <v>38</v>
      </c>
    </row>
    <row r="9" spans="1:75" ht="15">
      <c r="A9" s="2" t="s">
        <v>39</v>
      </c>
      <c r="B9" s="5">
        <v>4055265</v>
      </c>
      <c r="C9" s="2" t="s">
        <v>40</v>
      </c>
      <c r="D9" s="2" t="s">
        <v>41</v>
      </c>
      <c r="E9" s="2" t="s">
        <v>42</v>
      </c>
      <c r="F9" s="2" t="s">
        <v>43</v>
      </c>
      <c r="G9" s="2" t="s">
        <v>44</v>
      </c>
      <c r="H9" s="2" t="s">
        <v>45</v>
      </c>
      <c r="I9" s="2" t="s">
        <v>45</v>
      </c>
      <c r="J9" s="2" t="s">
        <v>46</v>
      </c>
      <c r="K9" s="2" t="s">
        <v>47</v>
      </c>
      <c r="L9" s="2" t="s">
        <v>48</v>
      </c>
      <c r="M9" s="2" t="s">
        <v>49</v>
      </c>
      <c r="N9" s="2" t="s">
        <v>50</v>
      </c>
      <c r="O9" s="2" t="s">
        <v>51</v>
      </c>
      <c r="P9" s="7">
        <v>3145287115.9895</v>
      </c>
      <c r="Q9" s="7">
        <v>1248841537.0899301</v>
      </c>
      <c r="R9" s="7">
        <v>2451107623.7734299</v>
      </c>
      <c r="S9" s="7">
        <v>15934437.455700001</v>
      </c>
      <c r="T9" s="7">
        <v>72377102.063639998</v>
      </c>
      <c r="U9" s="7">
        <v>37319875.405442201</v>
      </c>
      <c r="V9" s="7">
        <v>35137261.7539474</v>
      </c>
      <c r="W9" s="7">
        <v>16975843.5541333</v>
      </c>
      <c r="X9" s="7">
        <v>1645914.31794938</v>
      </c>
      <c r="Y9" s="7">
        <v>5787516.8986283597</v>
      </c>
      <c r="Z9" s="7">
        <v>-51055160.381962702</v>
      </c>
      <c r="AA9" s="7">
        <v>-32072148.588553801</v>
      </c>
      <c r="AB9" s="7">
        <v>-49745592.191065803</v>
      </c>
      <c r="AC9" s="7">
        <v>-147810.48718577699</v>
      </c>
      <c r="AD9" s="7">
        <v>-49815.588547236199</v>
      </c>
      <c r="AE9" s="7">
        <v>22762087.791740399</v>
      </c>
      <c r="AF9" s="7">
        <v>14694325.9604134</v>
      </c>
      <c r="AG9" s="7">
        <v>12596798.788627001</v>
      </c>
      <c r="AH9" s="7">
        <v>1034127.98414846</v>
      </c>
      <c r="AI9" s="7">
        <v>695418.34377072402</v>
      </c>
      <c r="AJ9" s="6" t="s">
        <v>38</v>
      </c>
      <c r="AK9" s="6" t="s">
        <v>38</v>
      </c>
      <c r="AL9" s="6" t="s">
        <v>38</v>
      </c>
      <c r="AM9" s="6" t="s">
        <v>38</v>
      </c>
      <c r="AN9" s="6" t="s">
        <v>38</v>
      </c>
      <c r="AO9" s="7">
        <v>-961404.49721819302</v>
      </c>
      <c r="AP9" s="7">
        <v>-1077398.45887198</v>
      </c>
      <c r="AQ9" s="7">
        <v>-50542.8234165389</v>
      </c>
      <c r="AR9" s="7">
        <v>-37816.213203741303</v>
      </c>
      <c r="AS9" s="7">
        <v>-29271.2034894344</v>
      </c>
      <c r="AT9" s="6" t="s">
        <v>38</v>
      </c>
      <c r="AU9" s="6" t="s">
        <v>38</v>
      </c>
      <c r="AV9" s="6" t="s">
        <v>38</v>
      </c>
      <c r="AW9" s="6" t="s">
        <v>38</v>
      </c>
      <c r="AX9" s="6" t="s">
        <v>38</v>
      </c>
      <c r="AY9" s="7">
        <v>1725182.91870337</v>
      </c>
      <c r="AZ9" s="7">
        <v>1704456.7249282501</v>
      </c>
      <c r="BA9" s="7">
        <v>587787.58311392204</v>
      </c>
      <c r="BB9" s="7">
        <v>83086.583817835504</v>
      </c>
      <c r="BC9" s="7">
        <v>13999.2712340773</v>
      </c>
      <c r="BD9" s="7">
        <v>22762087.791740399</v>
      </c>
      <c r="BE9" s="7">
        <v>14694325.9604134</v>
      </c>
      <c r="BF9" s="7">
        <v>12596798.788627001</v>
      </c>
      <c r="BG9" s="7">
        <v>1115032.8633583901</v>
      </c>
      <c r="BH9" s="7">
        <v>696509.19607467798</v>
      </c>
      <c r="BI9" s="6" t="s">
        <v>38</v>
      </c>
      <c r="BJ9" s="6" t="s">
        <v>38</v>
      </c>
      <c r="BK9" s="6" t="s">
        <v>38</v>
      </c>
      <c r="BL9" s="6" t="s">
        <v>38</v>
      </c>
      <c r="BM9" s="6" t="s">
        <v>38</v>
      </c>
      <c r="BN9" s="6" t="s">
        <v>38</v>
      </c>
      <c r="BO9" s="6" t="s">
        <v>38</v>
      </c>
      <c r="BP9" s="6" t="s">
        <v>38</v>
      </c>
      <c r="BQ9" s="6" t="s">
        <v>38</v>
      </c>
      <c r="BR9" s="6" t="s">
        <v>38</v>
      </c>
      <c r="BS9" s="6" t="s">
        <v>38</v>
      </c>
      <c r="BT9" s="6" t="s">
        <v>38</v>
      </c>
      <c r="BU9" s="6" t="s">
        <v>38</v>
      </c>
      <c r="BV9" s="6" t="s">
        <v>38</v>
      </c>
      <c r="BW9" s="6" t="s">
        <v>38</v>
      </c>
    </row>
    <row r="10" spans="1:75" ht="15">
      <c r="A10" s="2" t="s">
        <v>52</v>
      </c>
      <c r="B10" s="5">
        <v>4121840</v>
      </c>
      <c r="C10" s="2" t="s">
        <v>53</v>
      </c>
      <c r="D10" s="2" t="s">
        <v>54</v>
      </c>
      <c r="E10" s="2" t="s">
        <v>55</v>
      </c>
      <c r="F10" s="2" t="s">
        <v>56</v>
      </c>
      <c r="G10" s="2" t="s">
        <v>57</v>
      </c>
      <c r="H10" s="2" t="s">
        <v>57</v>
      </c>
      <c r="I10" s="2" t="s">
        <v>58</v>
      </c>
      <c r="J10" s="2" t="s">
        <v>59</v>
      </c>
      <c r="K10" s="2" t="s">
        <v>60</v>
      </c>
      <c r="L10" s="2" t="s">
        <v>61</v>
      </c>
      <c r="M10" s="2" t="s">
        <v>62</v>
      </c>
      <c r="N10" s="2" t="s">
        <v>63</v>
      </c>
      <c r="O10" s="2"/>
      <c r="P10" s="7">
        <v>65350250.909999996</v>
      </c>
      <c r="Q10" s="7">
        <v>36591688.840000004</v>
      </c>
      <c r="R10" s="7">
        <v>13173836.199999999</v>
      </c>
      <c r="S10" s="7">
        <v>41969926.880000003</v>
      </c>
      <c r="T10" s="6" t="s">
        <v>38</v>
      </c>
      <c r="U10" s="7">
        <v>37274722.845517799</v>
      </c>
      <c r="V10" s="7">
        <v>30664882.564138401</v>
      </c>
      <c r="W10" s="7">
        <v>7177351.8206897704</v>
      </c>
      <c r="X10" s="7">
        <v>328694.466206902</v>
      </c>
      <c r="Y10" s="6" t="s">
        <v>38</v>
      </c>
      <c r="Z10" s="6" t="s">
        <v>38</v>
      </c>
      <c r="AA10" s="6" t="s">
        <v>38</v>
      </c>
      <c r="AB10" s="6" t="s">
        <v>38</v>
      </c>
      <c r="AC10" s="6" t="s">
        <v>38</v>
      </c>
      <c r="AD10" s="6" t="s">
        <v>38</v>
      </c>
      <c r="AE10" s="7">
        <v>20108140.762758899</v>
      </c>
      <c r="AF10" s="7">
        <v>15810717.4096554</v>
      </c>
      <c r="AG10" s="7">
        <v>74469.840000001204</v>
      </c>
      <c r="AH10" s="7">
        <v>-1788560.12275865</v>
      </c>
      <c r="AI10" s="6" t="s">
        <v>38</v>
      </c>
      <c r="AJ10" s="6" t="s">
        <v>38</v>
      </c>
      <c r="AK10" s="6" t="s">
        <v>38</v>
      </c>
      <c r="AL10" s="6" t="s">
        <v>38</v>
      </c>
      <c r="AM10" s="6" t="s">
        <v>38</v>
      </c>
      <c r="AN10" s="6" t="s">
        <v>38</v>
      </c>
      <c r="AO10" s="7">
        <v>-5849734.3282759497</v>
      </c>
      <c r="AP10" s="7">
        <v>-3913518.48827592</v>
      </c>
      <c r="AQ10" s="7">
        <v>-532844.544827595</v>
      </c>
      <c r="AR10" s="7">
        <v>-2349651.8482758999</v>
      </c>
      <c r="AS10" s="6" t="s">
        <v>38</v>
      </c>
      <c r="AT10" s="7">
        <v>23351430.691034801</v>
      </c>
      <c r="AU10" s="7">
        <v>18654694.9200003</v>
      </c>
      <c r="AV10" s="7">
        <v>1068257.0151724301</v>
      </c>
      <c r="AW10" s="7">
        <v>-771661.61793104699</v>
      </c>
      <c r="AX10" s="6" t="s">
        <v>38</v>
      </c>
      <c r="AY10" s="7">
        <v>3209906.8965517702</v>
      </c>
      <c r="AZ10" s="7">
        <v>2806742.59034487</v>
      </c>
      <c r="BA10" s="7">
        <v>968107.92000001494</v>
      </c>
      <c r="BB10" s="7">
        <v>977095.65931035997</v>
      </c>
      <c r="BC10" s="6" t="s">
        <v>38</v>
      </c>
      <c r="BD10" s="6" t="s">
        <v>38</v>
      </c>
      <c r="BE10" s="6" t="s">
        <v>38</v>
      </c>
      <c r="BF10" s="6" t="s">
        <v>38</v>
      </c>
      <c r="BG10" s="6" t="s">
        <v>38</v>
      </c>
      <c r="BH10" s="6" t="s">
        <v>38</v>
      </c>
      <c r="BI10" s="6" t="s">
        <v>38</v>
      </c>
      <c r="BJ10" s="6" t="s">
        <v>38</v>
      </c>
      <c r="BK10" s="6" t="s">
        <v>38</v>
      </c>
      <c r="BL10" s="6" t="s">
        <v>38</v>
      </c>
      <c r="BM10" s="6" t="s">
        <v>38</v>
      </c>
      <c r="BN10" s="6" t="s">
        <v>38</v>
      </c>
      <c r="BO10" s="6" t="s">
        <v>38</v>
      </c>
      <c r="BP10" s="6" t="s">
        <v>38</v>
      </c>
      <c r="BQ10" s="6" t="s">
        <v>38</v>
      </c>
      <c r="BR10" s="6" t="s">
        <v>38</v>
      </c>
      <c r="BS10" s="6" t="s">
        <v>38</v>
      </c>
      <c r="BT10" s="6" t="s">
        <v>38</v>
      </c>
      <c r="BU10" s="6" t="s">
        <v>38</v>
      </c>
      <c r="BV10" s="6" t="s">
        <v>38</v>
      </c>
      <c r="BW10" s="6" t="s">
        <v>38</v>
      </c>
    </row>
    <row r="11" spans="1:75" ht="15">
      <c r="A11" s="2" t="s">
        <v>64</v>
      </c>
      <c r="B11" s="5">
        <v>4147550</v>
      </c>
      <c r="C11" s="2" t="s">
        <v>65</v>
      </c>
      <c r="D11" s="2" t="s">
        <v>41</v>
      </c>
      <c r="E11" s="2" t="s">
        <v>66</v>
      </c>
      <c r="F11" s="2" t="s">
        <v>43</v>
      </c>
      <c r="G11" s="2" t="s">
        <v>44</v>
      </c>
      <c r="H11" s="2" t="s">
        <v>45</v>
      </c>
      <c r="I11" s="2" t="s">
        <v>45</v>
      </c>
      <c r="J11" s="2" t="s">
        <v>46</v>
      </c>
      <c r="K11" s="2" t="s">
        <v>67</v>
      </c>
      <c r="L11" s="2" t="s">
        <v>68</v>
      </c>
      <c r="M11" s="2" t="s">
        <v>48</v>
      </c>
      <c r="N11" s="2" t="s">
        <v>47</v>
      </c>
      <c r="O11" s="2" t="s">
        <v>69</v>
      </c>
      <c r="P11" s="7">
        <v>3126879484.6579599</v>
      </c>
      <c r="Q11" s="7">
        <v>198512564.251194</v>
      </c>
      <c r="R11" s="7">
        <v>1586218172.38466</v>
      </c>
      <c r="S11" s="7">
        <v>3495503800.0605698</v>
      </c>
      <c r="T11" s="7">
        <v>25698670.872726001</v>
      </c>
      <c r="U11" s="7">
        <v>26256087.7213053</v>
      </c>
      <c r="V11" s="7">
        <v>4298867.12116569</v>
      </c>
      <c r="W11" s="7">
        <v>48318939.186211199</v>
      </c>
      <c r="X11" s="7">
        <v>31584719.417403702</v>
      </c>
      <c r="Y11" s="6" t="s">
        <v>38</v>
      </c>
      <c r="Z11" s="6" t="s">
        <v>38</v>
      </c>
      <c r="AA11" s="6" t="s">
        <v>38</v>
      </c>
      <c r="AB11" s="6" t="s">
        <v>38</v>
      </c>
      <c r="AC11" s="6" t="s">
        <v>38</v>
      </c>
      <c r="AD11" s="6" t="s">
        <v>38</v>
      </c>
      <c r="AE11" s="6" t="s">
        <v>38</v>
      </c>
      <c r="AF11" s="6" t="s">
        <v>38</v>
      </c>
      <c r="AG11" s="6" t="s">
        <v>38</v>
      </c>
      <c r="AH11" s="6" t="s">
        <v>38</v>
      </c>
      <c r="AI11" s="6" t="s">
        <v>38</v>
      </c>
      <c r="AJ11" s="6" t="s">
        <v>38</v>
      </c>
      <c r="AK11" s="6" t="s">
        <v>38</v>
      </c>
      <c r="AL11" s="6" t="s">
        <v>38</v>
      </c>
      <c r="AM11" s="6" t="s">
        <v>38</v>
      </c>
      <c r="AN11" s="6" t="s">
        <v>38</v>
      </c>
      <c r="AO11" s="7">
        <v>-173081.89889404699</v>
      </c>
      <c r="AP11" s="7">
        <v>-2342787.1314587099</v>
      </c>
      <c r="AQ11" s="7">
        <v>-1340475.6728422299</v>
      </c>
      <c r="AR11" s="7">
        <v>-1250116.7403313699</v>
      </c>
      <c r="AS11" s="6" t="s">
        <v>38</v>
      </c>
      <c r="AT11" s="6" t="s">
        <v>38</v>
      </c>
      <c r="AU11" s="6" t="s">
        <v>38</v>
      </c>
      <c r="AV11" s="6" t="s">
        <v>38</v>
      </c>
      <c r="AW11" s="6" t="s">
        <v>38</v>
      </c>
      <c r="AX11" s="6" t="s">
        <v>38</v>
      </c>
      <c r="AY11" s="7">
        <v>345800.18035344197</v>
      </c>
      <c r="AZ11" s="7">
        <v>534699.43765482295</v>
      </c>
      <c r="BA11" s="7">
        <v>2498779.01092414</v>
      </c>
      <c r="BB11" s="7">
        <v>1948080.40614466</v>
      </c>
      <c r="BC11" s="6" t="s">
        <v>38</v>
      </c>
      <c r="BD11" s="7">
        <v>23235699.500373799</v>
      </c>
      <c r="BE11" s="7">
        <v>2499688.0545107699</v>
      </c>
      <c r="BF11" s="7">
        <v>28109809.403158002</v>
      </c>
      <c r="BG11" s="7">
        <v>15355382.456609599</v>
      </c>
      <c r="BH11" s="6" t="s">
        <v>38</v>
      </c>
      <c r="BI11" s="6" t="s">
        <v>38</v>
      </c>
      <c r="BJ11" s="6" t="s">
        <v>38</v>
      </c>
      <c r="BK11" s="6" t="s">
        <v>38</v>
      </c>
      <c r="BL11" s="6" t="s">
        <v>38</v>
      </c>
      <c r="BM11" s="6" t="s">
        <v>38</v>
      </c>
      <c r="BN11" s="6" t="s">
        <v>38</v>
      </c>
      <c r="BO11" s="6" t="s">
        <v>38</v>
      </c>
      <c r="BP11" s="6" t="s">
        <v>38</v>
      </c>
      <c r="BQ11" s="6" t="s">
        <v>38</v>
      </c>
      <c r="BR11" s="6" t="s">
        <v>38</v>
      </c>
      <c r="BS11" s="6" t="s">
        <v>38</v>
      </c>
      <c r="BT11" s="6" t="s">
        <v>38</v>
      </c>
      <c r="BU11" s="6" t="s">
        <v>38</v>
      </c>
      <c r="BV11" s="6" t="s">
        <v>38</v>
      </c>
      <c r="BW11" s="6" t="s">
        <v>38</v>
      </c>
    </row>
    <row r="12" spans="1:75" ht="15">
      <c r="A12" s="2" t="s">
        <v>70</v>
      </c>
      <c r="B12" s="5">
        <v>4968376</v>
      </c>
      <c r="C12" s="2" t="s">
        <v>71</v>
      </c>
      <c r="D12" s="2" t="s">
        <v>72</v>
      </c>
      <c r="E12" s="2" t="s">
        <v>73</v>
      </c>
      <c r="F12" s="2" t="s">
        <v>74</v>
      </c>
      <c r="G12" s="2" t="s">
        <v>75</v>
      </c>
      <c r="H12" s="2" t="s">
        <v>76</v>
      </c>
      <c r="I12" s="2" t="s">
        <v>77</v>
      </c>
      <c r="J12" s="2" t="s">
        <v>78</v>
      </c>
      <c r="K12" s="2" t="s">
        <v>79</v>
      </c>
      <c r="L12" s="2" t="s">
        <v>80</v>
      </c>
      <c r="M12" s="2" t="s">
        <v>68</v>
      </c>
      <c r="N12" s="2" t="s">
        <v>81</v>
      </c>
      <c r="O12" s="2"/>
      <c r="P12" s="6" t="s">
        <v>38</v>
      </c>
      <c r="Q12" s="6" t="s">
        <v>38</v>
      </c>
      <c r="R12" s="6" t="s">
        <v>38</v>
      </c>
      <c r="S12" s="6" t="s">
        <v>38</v>
      </c>
      <c r="T12" s="6" t="s">
        <v>38</v>
      </c>
      <c r="U12" s="7">
        <v>1933196.95065678</v>
      </c>
      <c r="V12" s="7">
        <v>52246.0286552693</v>
      </c>
      <c r="W12" s="7">
        <v>13420.245730127301</v>
      </c>
      <c r="X12" s="7">
        <v>-811139.656711719</v>
      </c>
      <c r="Y12" s="6" t="s">
        <v>38</v>
      </c>
      <c r="Z12" s="6" t="s">
        <v>38</v>
      </c>
      <c r="AA12" s="6" t="s">
        <v>38</v>
      </c>
      <c r="AB12" s="6" t="s">
        <v>38</v>
      </c>
      <c r="AC12" s="6" t="s">
        <v>38</v>
      </c>
      <c r="AD12" s="6" t="s">
        <v>38</v>
      </c>
      <c r="AE12" s="7">
        <v>370022.19685545098</v>
      </c>
      <c r="AF12" s="7">
        <v>9834.4542741989899</v>
      </c>
      <c r="AG12" s="7">
        <v>19.885636818022299</v>
      </c>
      <c r="AH12" s="7">
        <v>5985.1991068420803</v>
      </c>
      <c r="AI12" s="6" t="s">
        <v>38</v>
      </c>
      <c r="AJ12" s="6" t="s">
        <v>38</v>
      </c>
      <c r="AK12" s="6" t="s">
        <v>38</v>
      </c>
      <c r="AL12" s="6" t="s">
        <v>38</v>
      </c>
      <c r="AM12" s="6" t="s">
        <v>38</v>
      </c>
      <c r="AN12" s="6" t="s">
        <v>38</v>
      </c>
      <c r="AO12" s="6" t="s">
        <v>38</v>
      </c>
      <c r="AP12" s="6" t="s">
        <v>38</v>
      </c>
      <c r="AQ12" s="6" t="s">
        <v>38</v>
      </c>
      <c r="AR12" s="6" t="s">
        <v>38</v>
      </c>
      <c r="AS12" s="6" t="s">
        <v>38</v>
      </c>
      <c r="AT12" s="6" t="s">
        <v>38</v>
      </c>
      <c r="AU12" s="6" t="s">
        <v>38</v>
      </c>
      <c r="AV12" s="6" t="s">
        <v>38</v>
      </c>
      <c r="AW12" s="6" t="s">
        <v>38</v>
      </c>
      <c r="AX12" s="6" t="s">
        <v>38</v>
      </c>
      <c r="AY12" s="6" t="s">
        <v>38</v>
      </c>
      <c r="AZ12" s="6" t="s">
        <v>38</v>
      </c>
      <c r="BA12" s="6" t="s">
        <v>38</v>
      </c>
      <c r="BB12" s="6" t="s">
        <v>38</v>
      </c>
      <c r="BC12" s="6" t="s">
        <v>38</v>
      </c>
      <c r="BD12" s="6" t="s">
        <v>38</v>
      </c>
      <c r="BE12" s="6" t="s">
        <v>38</v>
      </c>
      <c r="BF12" s="6" t="s">
        <v>38</v>
      </c>
      <c r="BG12" s="6" t="s">
        <v>38</v>
      </c>
      <c r="BH12" s="6" t="s">
        <v>38</v>
      </c>
      <c r="BI12" s="6" t="s">
        <v>38</v>
      </c>
      <c r="BJ12" s="6" t="s">
        <v>38</v>
      </c>
      <c r="BK12" s="6" t="s">
        <v>38</v>
      </c>
      <c r="BL12" s="6" t="s">
        <v>38</v>
      </c>
      <c r="BM12" s="6" t="s">
        <v>38</v>
      </c>
      <c r="BN12" s="6" t="s">
        <v>38</v>
      </c>
      <c r="BO12" s="6" t="s">
        <v>38</v>
      </c>
      <c r="BP12" s="6" t="s">
        <v>38</v>
      </c>
      <c r="BQ12" s="6" t="s">
        <v>38</v>
      </c>
      <c r="BR12" s="6" t="s">
        <v>38</v>
      </c>
      <c r="BS12" s="6" t="s">
        <v>38</v>
      </c>
      <c r="BT12" s="6" t="s">
        <v>38</v>
      </c>
      <c r="BU12" s="6" t="s">
        <v>38</v>
      </c>
      <c r="BV12" s="6" t="s">
        <v>38</v>
      </c>
      <c r="BW12" s="6" t="s">
        <v>38</v>
      </c>
    </row>
    <row r="13" spans="1:75" ht="15">
      <c r="A13" s="2" t="s">
        <v>82</v>
      </c>
      <c r="B13" s="5">
        <v>4087374</v>
      </c>
      <c r="C13" s="2" t="s">
        <v>83</v>
      </c>
      <c r="D13" s="2" t="s">
        <v>54</v>
      </c>
      <c r="E13" s="2" t="s">
        <v>84</v>
      </c>
      <c r="F13" s="2" t="s">
        <v>43</v>
      </c>
      <c r="G13" s="2" t="s">
        <v>44</v>
      </c>
      <c r="H13" s="2" t="s">
        <v>45</v>
      </c>
      <c r="I13" s="2" t="s">
        <v>45</v>
      </c>
      <c r="J13" s="2" t="s">
        <v>46</v>
      </c>
      <c r="K13" s="2" t="s">
        <v>85</v>
      </c>
      <c r="L13" s="2" t="s">
        <v>86</v>
      </c>
      <c r="M13" s="2" t="s">
        <v>87</v>
      </c>
      <c r="N13" s="2" t="s">
        <v>88</v>
      </c>
      <c r="O13" s="2" t="s">
        <v>89</v>
      </c>
      <c r="P13" s="7">
        <v>529927840.50740999</v>
      </c>
      <c r="Q13" s="7">
        <v>267537776.18507999</v>
      </c>
      <c r="R13" s="7">
        <v>218489482.30256099</v>
      </c>
      <c r="S13" s="7">
        <v>105886194.881175</v>
      </c>
      <c r="T13" s="7">
        <v>178476094.17984599</v>
      </c>
      <c r="U13" s="7">
        <v>11678631.7210644</v>
      </c>
      <c r="V13" s="7">
        <v>8487372.6390607506</v>
      </c>
      <c r="W13" s="7">
        <v>2557886.0673662801</v>
      </c>
      <c r="X13" s="7">
        <v>2569211.8571741101</v>
      </c>
      <c r="Y13" s="7">
        <v>351970.69864304498</v>
      </c>
      <c r="Z13" s="6" t="s">
        <v>38</v>
      </c>
      <c r="AA13" s="6" t="s">
        <v>38</v>
      </c>
      <c r="AB13" s="6" t="s">
        <v>38</v>
      </c>
      <c r="AC13" s="6" t="s">
        <v>38</v>
      </c>
      <c r="AD13" s="6" t="s">
        <v>38</v>
      </c>
      <c r="AE13" s="6" t="s">
        <v>38</v>
      </c>
      <c r="AF13" s="6" t="s">
        <v>38</v>
      </c>
      <c r="AG13" s="6" t="s">
        <v>38</v>
      </c>
      <c r="AH13" s="6" t="s">
        <v>38</v>
      </c>
      <c r="AI13" s="6" t="s">
        <v>38</v>
      </c>
      <c r="AJ13" s="6" t="s">
        <v>38</v>
      </c>
      <c r="AK13" s="6" t="s">
        <v>38</v>
      </c>
      <c r="AL13" s="6" t="s">
        <v>38</v>
      </c>
      <c r="AM13" s="6" t="s">
        <v>38</v>
      </c>
      <c r="AN13" s="6" t="s">
        <v>38</v>
      </c>
      <c r="AO13" s="6" t="s">
        <v>38</v>
      </c>
      <c r="AP13" s="6" t="s">
        <v>38</v>
      </c>
      <c r="AQ13" s="6" t="s">
        <v>38</v>
      </c>
      <c r="AR13" s="6" t="s">
        <v>38</v>
      </c>
      <c r="AS13" s="6" t="s">
        <v>38</v>
      </c>
      <c r="AT13" s="6" t="s">
        <v>38</v>
      </c>
      <c r="AU13" s="6" t="s">
        <v>38</v>
      </c>
      <c r="AV13" s="6" t="s">
        <v>38</v>
      </c>
      <c r="AW13" s="6" t="s">
        <v>38</v>
      </c>
      <c r="AX13" s="6" t="s">
        <v>38</v>
      </c>
      <c r="AY13" s="7">
        <v>276175.02839070599</v>
      </c>
      <c r="AZ13" s="7">
        <v>137651.906895052</v>
      </c>
      <c r="BA13" s="7">
        <v>44431.944630681399</v>
      </c>
      <c r="BB13" s="7">
        <v>128939.760889036</v>
      </c>
      <c r="BC13" s="7">
        <v>703941.39728608902</v>
      </c>
      <c r="BD13" s="7">
        <v>6959262.2296055499</v>
      </c>
      <c r="BE13" s="7">
        <v>5663766.1185109699</v>
      </c>
      <c r="BF13" s="7">
        <v>1507201.2590407601</v>
      </c>
      <c r="BG13" s="7">
        <v>1337314.41192345</v>
      </c>
      <c r="BH13" s="7">
        <v>-1806027.8670471101</v>
      </c>
      <c r="BI13" s="7">
        <v>4870960.8319635196</v>
      </c>
      <c r="BJ13" s="7">
        <v>3957927.9305330501</v>
      </c>
      <c r="BK13" s="7">
        <v>1095987.96755681</v>
      </c>
      <c r="BL13" s="7">
        <v>966176.99206716998</v>
      </c>
      <c r="BM13" s="7">
        <v>-1424435.8719836101</v>
      </c>
      <c r="BN13" s="7">
        <v>2091786.25604443</v>
      </c>
      <c r="BO13" s="7">
        <v>1704966.97337732</v>
      </c>
      <c r="BP13" s="7">
        <v>411213.29148395301</v>
      </c>
      <c r="BQ13" s="7">
        <v>368523.77605447499</v>
      </c>
      <c r="BR13" s="7">
        <v>-482652.88873328402</v>
      </c>
      <c r="BS13" s="6" t="s">
        <v>38</v>
      </c>
      <c r="BT13" s="6" t="s">
        <v>38</v>
      </c>
      <c r="BU13" s="6" t="s">
        <v>38</v>
      </c>
      <c r="BV13" s="6" t="s">
        <v>38</v>
      </c>
      <c r="BW13" s="6" t="s">
        <v>38</v>
      </c>
    </row>
    <row r="14" spans="1:75" ht="15">
      <c r="A14" s="2" t="s">
        <v>90</v>
      </c>
      <c r="B14" s="5">
        <v>4173349</v>
      </c>
      <c r="C14" s="2" t="s">
        <v>91</v>
      </c>
      <c r="D14" s="2" t="s">
        <v>92</v>
      </c>
      <c r="E14" s="2" t="s">
        <v>93</v>
      </c>
      <c r="F14" s="2" t="s">
        <v>43</v>
      </c>
      <c r="G14" s="2" t="s">
        <v>44</v>
      </c>
      <c r="H14" s="2" t="s">
        <v>45</v>
      </c>
      <c r="I14" s="2" t="s">
        <v>45</v>
      </c>
      <c r="J14" s="2" t="s">
        <v>46</v>
      </c>
      <c r="K14" s="2" t="s">
        <v>94</v>
      </c>
      <c r="L14" s="2" t="s">
        <v>95</v>
      </c>
      <c r="M14" s="2" t="s">
        <v>96</v>
      </c>
      <c r="N14" s="2" t="s">
        <v>68</v>
      </c>
      <c r="O14" s="2" t="s">
        <v>97</v>
      </c>
      <c r="P14" s="7">
        <v>135866000</v>
      </c>
      <c r="Q14" s="7">
        <v>347241000</v>
      </c>
      <c r="R14" s="7">
        <v>243592000</v>
      </c>
      <c r="S14" s="7">
        <v>164475000</v>
      </c>
      <c r="T14" s="7">
        <v>6314000</v>
      </c>
      <c r="U14" s="7">
        <v>10042000</v>
      </c>
      <c r="V14" s="7">
        <v>8665000</v>
      </c>
      <c r="W14" s="7">
        <v>1375000</v>
      </c>
      <c r="X14" s="7">
        <v>2027000</v>
      </c>
      <c r="Y14" s="6" t="s">
        <v>38</v>
      </c>
      <c r="Z14" s="6" t="s">
        <v>38</v>
      </c>
      <c r="AA14" s="6" t="s">
        <v>38</v>
      </c>
      <c r="AB14" s="6" t="s">
        <v>38</v>
      </c>
      <c r="AC14" s="6" t="s">
        <v>38</v>
      </c>
      <c r="AD14" s="6" t="s">
        <v>38</v>
      </c>
      <c r="AE14" s="6" t="s">
        <v>38</v>
      </c>
      <c r="AF14" s="6" t="s">
        <v>38</v>
      </c>
      <c r="AG14" s="6" t="s">
        <v>38</v>
      </c>
      <c r="AH14" s="6" t="s">
        <v>38</v>
      </c>
      <c r="AI14" s="6" t="s">
        <v>38</v>
      </c>
      <c r="AJ14" s="6" t="s">
        <v>38</v>
      </c>
      <c r="AK14" s="6" t="s">
        <v>38</v>
      </c>
      <c r="AL14" s="6" t="s">
        <v>38</v>
      </c>
      <c r="AM14" s="6" t="s">
        <v>38</v>
      </c>
      <c r="AN14" s="6" t="s">
        <v>38</v>
      </c>
      <c r="AO14" s="7">
        <v>-171000</v>
      </c>
      <c r="AP14" s="7">
        <v>-35000</v>
      </c>
      <c r="AQ14" s="7">
        <v>-29000</v>
      </c>
      <c r="AR14" s="7">
        <v>-290000</v>
      </c>
      <c r="AS14" s="6" t="s">
        <v>38</v>
      </c>
      <c r="AT14" s="6" t="s">
        <v>38</v>
      </c>
      <c r="AU14" s="6" t="s">
        <v>38</v>
      </c>
      <c r="AV14" s="6" t="s">
        <v>38</v>
      </c>
      <c r="AW14" s="6" t="s">
        <v>38</v>
      </c>
      <c r="AX14" s="6" t="s">
        <v>38</v>
      </c>
      <c r="AY14" s="7">
        <v>34000</v>
      </c>
      <c r="AZ14" s="7">
        <v>7000</v>
      </c>
      <c r="BA14" s="7">
        <v>5000</v>
      </c>
      <c r="BB14" s="7">
        <v>778000</v>
      </c>
      <c r="BC14" s="6" t="s">
        <v>38</v>
      </c>
      <c r="BD14" s="7">
        <v>4542000</v>
      </c>
      <c r="BE14" s="7">
        <v>5730000</v>
      </c>
      <c r="BF14" s="7">
        <v>568000</v>
      </c>
      <c r="BG14" s="7">
        <v>2159000</v>
      </c>
      <c r="BH14" s="6" t="s">
        <v>38</v>
      </c>
      <c r="BI14" s="6" t="s">
        <v>38</v>
      </c>
      <c r="BJ14" s="6" t="s">
        <v>38</v>
      </c>
      <c r="BK14" s="6" t="s">
        <v>38</v>
      </c>
      <c r="BL14" s="6" t="s">
        <v>38</v>
      </c>
      <c r="BM14" s="6" t="s">
        <v>38</v>
      </c>
      <c r="BN14" s="6" t="s">
        <v>38</v>
      </c>
      <c r="BO14" s="6" t="s">
        <v>38</v>
      </c>
      <c r="BP14" s="6" t="s">
        <v>38</v>
      </c>
      <c r="BQ14" s="6" t="s">
        <v>38</v>
      </c>
      <c r="BR14" s="6" t="s">
        <v>38</v>
      </c>
      <c r="BS14" s="6" t="s">
        <v>38</v>
      </c>
      <c r="BT14" s="6" t="s">
        <v>38</v>
      </c>
      <c r="BU14" s="6" t="s">
        <v>38</v>
      </c>
      <c r="BV14" s="6" t="s">
        <v>38</v>
      </c>
      <c r="BW14" s="6" t="s">
        <v>38</v>
      </c>
    </row>
    <row r="15" spans="1:75" ht="15">
      <c r="A15" s="2" t="s">
        <v>98</v>
      </c>
      <c r="B15" s="5">
        <v>4545434</v>
      </c>
      <c r="C15" s="2" t="s">
        <v>99</v>
      </c>
      <c r="D15" s="2" t="s">
        <v>72</v>
      </c>
      <c r="E15" s="2"/>
      <c r="F15" s="2" t="s">
        <v>100</v>
      </c>
      <c r="G15" s="2" t="s">
        <v>75</v>
      </c>
      <c r="H15" s="2" t="s">
        <v>76</v>
      </c>
      <c r="I15" s="2" t="s">
        <v>77</v>
      </c>
      <c r="J15" s="2" t="s">
        <v>101</v>
      </c>
      <c r="K15" s="2" t="s">
        <v>102</v>
      </c>
      <c r="L15" s="2" t="s">
        <v>103</v>
      </c>
      <c r="M15" s="2" t="s">
        <v>104</v>
      </c>
      <c r="N15" s="2" t="s">
        <v>105</v>
      </c>
      <c r="O15" s="2" t="s">
        <v>68</v>
      </c>
      <c r="P15" s="6" t="s">
        <v>38</v>
      </c>
      <c r="Q15" s="6" t="s">
        <v>38</v>
      </c>
      <c r="R15" s="6" t="s">
        <v>38</v>
      </c>
      <c r="S15" s="6" t="s">
        <v>38</v>
      </c>
      <c r="T15" s="6" t="s">
        <v>38</v>
      </c>
      <c r="U15" s="7">
        <v>7635229.0362091698</v>
      </c>
      <c r="V15" s="7">
        <v>2305003.6946289502</v>
      </c>
      <c r="W15" s="7">
        <v>11748116.8170492</v>
      </c>
      <c r="X15" s="7">
        <v>1552727.4107754901</v>
      </c>
      <c r="Y15" s="7">
        <v>37920.776685820601</v>
      </c>
      <c r="Z15" s="6" t="s">
        <v>38</v>
      </c>
      <c r="AA15" s="6" t="s">
        <v>38</v>
      </c>
      <c r="AB15" s="6" t="s">
        <v>38</v>
      </c>
      <c r="AC15" s="6" t="s">
        <v>38</v>
      </c>
      <c r="AD15" s="6" t="s">
        <v>38</v>
      </c>
      <c r="AE15" s="7">
        <v>1190982.4214578499</v>
      </c>
      <c r="AF15" s="7">
        <v>23332.019052122901</v>
      </c>
      <c r="AG15" s="7">
        <v>2356968.8911051899</v>
      </c>
      <c r="AH15" s="7">
        <v>-50096.114426627202</v>
      </c>
      <c r="AI15" s="6" t="s">
        <v>38</v>
      </c>
      <c r="AJ15" s="6" t="s">
        <v>38</v>
      </c>
      <c r="AK15" s="6" t="s">
        <v>38</v>
      </c>
      <c r="AL15" s="6" t="s">
        <v>38</v>
      </c>
      <c r="AM15" s="6" t="s">
        <v>38</v>
      </c>
      <c r="AN15" s="6" t="s">
        <v>38</v>
      </c>
      <c r="AO15" s="6" t="s">
        <v>38</v>
      </c>
      <c r="AP15" s="6" t="s">
        <v>38</v>
      </c>
      <c r="AQ15" s="6" t="s">
        <v>38</v>
      </c>
      <c r="AR15" s="6" t="s">
        <v>38</v>
      </c>
      <c r="AS15" s="6" t="s">
        <v>38</v>
      </c>
      <c r="AT15" s="6" t="s">
        <v>38</v>
      </c>
      <c r="AU15" s="6" t="s">
        <v>38</v>
      </c>
      <c r="AV15" s="6" t="s">
        <v>38</v>
      </c>
      <c r="AW15" s="6" t="s">
        <v>38</v>
      </c>
      <c r="AX15" s="6" t="s">
        <v>38</v>
      </c>
      <c r="AY15" s="6" t="s">
        <v>38</v>
      </c>
      <c r="AZ15" s="6" t="s">
        <v>38</v>
      </c>
      <c r="BA15" s="6" t="s">
        <v>38</v>
      </c>
      <c r="BB15" s="6" t="s">
        <v>38</v>
      </c>
      <c r="BC15" s="6" t="s">
        <v>38</v>
      </c>
      <c r="BD15" s="6" t="s">
        <v>38</v>
      </c>
      <c r="BE15" s="6" t="s">
        <v>38</v>
      </c>
      <c r="BF15" s="6" t="s">
        <v>38</v>
      </c>
      <c r="BG15" s="6" t="s">
        <v>38</v>
      </c>
      <c r="BH15" s="6" t="s">
        <v>38</v>
      </c>
      <c r="BI15" s="6" t="s">
        <v>38</v>
      </c>
      <c r="BJ15" s="6" t="s">
        <v>38</v>
      </c>
      <c r="BK15" s="6" t="s">
        <v>38</v>
      </c>
      <c r="BL15" s="6" t="s">
        <v>38</v>
      </c>
      <c r="BM15" s="6" t="s">
        <v>38</v>
      </c>
      <c r="BN15" s="6" t="s">
        <v>38</v>
      </c>
      <c r="BO15" s="6" t="s">
        <v>38</v>
      </c>
      <c r="BP15" s="6" t="s">
        <v>38</v>
      </c>
      <c r="BQ15" s="6" t="s">
        <v>38</v>
      </c>
      <c r="BR15" s="6" t="s">
        <v>38</v>
      </c>
      <c r="BS15" s="6" t="s">
        <v>38</v>
      </c>
      <c r="BT15" s="6" t="s">
        <v>38</v>
      </c>
      <c r="BU15" s="6" t="s">
        <v>38</v>
      </c>
      <c r="BV15" s="6" t="s">
        <v>38</v>
      </c>
      <c r="BW15" s="6" t="s">
        <v>38</v>
      </c>
    </row>
    <row r="16" spans="1:75" ht="15">
      <c r="A16" s="2" t="s">
        <v>106</v>
      </c>
      <c r="B16" s="5">
        <v>4406620</v>
      </c>
      <c r="C16" s="2" t="s">
        <v>107</v>
      </c>
      <c r="D16" s="2" t="s">
        <v>72</v>
      </c>
      <c r="E16" s="2" t="s">
        <v>108</v>
      </c>
      <c r="F16" s="2" t="s">
        <v>109</v>
      </c>
      <c r="G16" s="2" t="s">
        <v>75</v>
      </c>
      <c r="H16" s="2" t="s">
        <v>76</v>
      </c>
      <c r="I16" s="2" t="s">
        <v>77</v>
      </c>
      <c r="J16" s="2" t="s">
        <v>110</v>
      </c>
      <c r="K16" s="2" t="s">
        <v>111</v>
      </c>
      <c r="L16" s="2" t="s">
        <v>112</v>
      </c>
      <c r="M16" s="2" t="s">
        <v>113</v>
      </c>
      <c r="N16" s="2" t="s">
        <v>114</v>
      </c>
      <c r="O16" s="2" t="s">
        <v>115</v>
      </c>
      <c r="P16" s="6" t="s">
        <v>38</v>
      </c>
      <c r="Q16" s="6" t="s">
        <v>38</v>
      </c>
      <c r="R16" s="6" t="s">
        <v>38</v>
      </c>
      <c r="S16" s="6" t="s">
        <v>38</v>
      </c>
      <c r="T16" s="6" t="s">
        <v>38</v>
      </c>
      <c r="U16" s="7">
        <v>-21678868.168548699</v>
      </c>
      <c r="V16" s="7">
        <v>8708734.2473255899</v>
      </c>
      <c r="W16" s="7">
        <v>163953845.197431</v>
      </c>
      <c r="X16" s="7">
        <v>182106285.15076399</v>
      </c>
      <c r="Y16" s="7">
        <v>6858111.4386407901</v>
      </c>
      <c r="Z16" s="6" t="s">
        <v>38</v>
      </c>
      <c r="AA16" s="6" t="s">
        <v>38</v>
      </c>
      <c r="AB16" s="6" t="s">
        <v>38</v>
      </c>
      <c r="AC16" s="6" t="s">
        <v>38</v>
      </c>
      <c r="AD16" s="6" t="s">
        <v>38</v>
      </c>
      <c r="AE16" s="7">
        <v>144863.08846546599</v>
      </c>
      <c r="AF16" s="7">
        <v>86926.243643337802</v>
      </c>
      <c r="AG16" s="7">
        <v>7731611.1099235797</v>
      </c>
      <c r="AH16" s="7">
        <v>2608080.9790421701</v>
      </c>
      <c r="AI16" s="7">
        <v>303654.51326760597</v>
      </c>
      <c r="AJ16" s="6" t="s">
        <v>38</v>
      </c>
      <c r="AK16" s="6" t="s">
        <v>38</v>
      </c>
      <c r="AL16" s="6" t="s">
        <v>38</v>
      </c>
      <c r="AM16" s="6" t="s">
        <v>38</v>
      </c>
      <c r="AN16" s="6" t="s">
        <v>38</v>
      </c>
      <c r="AO16" s="6" t="s">
        <v>38</v>
      </c>
      <c r="AP16" s="6" t="s">
        <v>38</v>
      </c>
      <c r="AQ16" s="6" t="s">
        <v>38</v>
      </c>
      <c r="AR16" s="6" t="s">
        <v>38</v>
      </c>
      <c r="AS16" s="6" t="s">
        <v>38</v>
      </c>
      <c r="AT16" s="6" t="s">
        <v>38</v>
      </c>
      <c r="AU16" s="6" t="s">
        <v>38</v>
      </c>
      <c r="AV16" s="6" t="s">
        <v>38</v>
      </c>
      <c r="AW16" s="6" t="s">
        <v>38</v>
      </c>
      <c r="AX16" s="6" t="s">
        <v>38</v>
      </c>
      <c r="AY16" s="7">
        <v>-144401.60744226299</v>
      </c>
      <c r="AZ16" s="7">
        <v>165000.44220523501</v>
      </c>
      <c r="BA16" s="7">
        <v>1553722.6994840801</v>
      </c>
      <c r="BB16" s="7">
        <v>2107164.3047654098</v>
      </c>
      <c r="BC16" s="7">
        <v>396621.96303287399</v>
      </c>
      <c r="BD16" s="6" t="s">
        <v>38</v>
      </c>
      <c r="BE16" s="6" t="s">
        <v>38</v>
      </c>
      <c r="BF16" s="6" t="s">
        <v>38</v>
      </c>
      <c r="BG16" s="6" t="s">
        <v>38</v>
      </c>
      <c r="BH16" s="6" t="s">
        <v>38</v>
      </c>
      <c r="BI16" s="6" t="s">
        <v>38</v>
      </c>
      <c r="BJ16" s="6" t="s">
        <v>38</v>
      </c>
      <c r="BK16" s="6" t="s">
        <v>38</v>
      </c>
      <c r="BL16" s="6" t="s">
        <v>38</v>
      </c>
      <c r="BM16" s="6" t="s">
        <v>38</v>
      </c>
      <c r="BN16" s="6" t="s">
        <v>38</v>
      </c>
      <c r="BO16" s="6" t="s">
        <v>38</v>
      </c>
      <c r="BP16" s="6" t="s">
        <v>38</v>
      </c>
      <c r="BQ16" s="6" t="s">
        <v>38</v>
      </c>
      <c r="BR16" s="6" t="s">
        <v>38</v>
      </c>
      <c r="BS16" s="6" t="s">
        <v>38</v>
      </c>
      <c r="BT16" s="6" t="s">
        <v>38</v>
      </c>
      <c r="BU16" s="6" t="s">
        <v>38</v>
      </c>
      <c r="BV16" s="6" t="s">
        <v>38</v>
      </c>
      <c r="BW16" s="6" t="s">
        <v>38</v>
      </c>
    </row>
    <row r="17" spans="1:75" ht="15">
      <c r="A17" s="2" t="s">
        <v>116</v>
      </c>
      <c r="B17" s="5">
        <v>4045329</v>
      </c>
      <c r="C17" s="2" t="s">
        <v>117</v>
      </c>
      <c r="D17" s="2" t="s">
        <v>118</v>
      </c>
      <c r="E17" s="2" t="s">
        <v>119</v>
      </c>
      <c r="F17" s="2" t="s">
        <v>120</v>
      </c>
      <c r="G17" s="2" t="s">
        <v>30</v>
      </c>
      <c r="H17" s="2" t="s">
        <v>121</v>
      </c>
      <c r="I17" s="2" t="s">
        <v>122</v>
      </c>
      <c r="J17" s="2" t="s">
        <v>123</v>
      </c>
      <c r="K17" s="2" t="s">
        <v>124</v>
      </c>
      <c r="L17" s="2" t="s">
        <v>125</v>
      </c>
      <c r="M17" s="2" t="s">
        <v>68</v>
      </c>
      <c r="N17" s="2" t="s">
        <v>126</v>
      </c>
      <c r="O17" s="2"/>
      <c r="P17" s="7">
        <v>146720342.58894601</v>
      </c>
      <c r="Q17" s="7">
        <v>189146818.07151201</v>
      </c>
      <c r="R17" s="7">
        <v>14722038.542505</v>
      </c>
      <c r="S17" s="7">
        <v>-21934791.484549999</v>
      </c>
      <c r="T17" s="6" t="s">
        <v>38</v>
      </c>
      <c r="U17" s="7">
        <v>214233372.27030101</v>
      </c>
      <c r="V17" s="7">
        <v>28106333.881506201</v>
      </c>
      <c r="W17" s="7">
        <v>11456963.024720101</v>
      </c>
      <c r="X17" s="7">
        <v>-82455410.063181996</v>
      </c>
      <c r="Y17" s="6" t="s">
        <v>38</v>
      </c>
      <c r="Z17" s="6" t="s">
        <v>38</v>
      </c>
      <c r="AA17" s="6" t="s">
        <v>38</v>
      </c>
      <c r="AB17" s="6" t="s">
        <v>38</v>
      </c>
      <c r="AC17" s="6" t="s">
        <v>38</v>
      </c>
      <c r="AD17" s="6" t="s">
        <v>38</v>
      </c>
      <c r="AE17" s="7">
        <v>6769358.11908188</v>
      </c>
      <c r="AF17" s="7">
        <v>1990770.1995763199</v>
      </c>
      <c r="AG17" s="7">
        <v>766181.99608368601</v>
      </c>
      <c r="AH17" s="7">
        <v>1023321.10384891</v>
      </c>
      <c r="AI17" s="6" t="s">
        <v>38</v>
      </c>
      <c r="AJ17" s="7">
        <v>24633192.418985501</v>
      </c>
      <c r="AK17" s="7">
        <v>4456592.75765994</v>
      </c>
      <c r="AL17" s="7">
        <v>1938270.6584305901</v>
      </c>
      <c r="AM17" s="6" t="s">
        <v>38</v>
      </c>
      <c r="AN17" s="6" t="s">
        <v>38</v>
      </c>
      <c r="AO17" s="7">
        <v>-9112465.5640449803</v>
      </c>
      <c r="AP17" s="7">
        <v>-169697.82817413699</v>
      </c>
      <c r="AQ17" s="7">
        <v>-647203.64260734397</v>
      </c>
      <c r="AR17" s="6" t="s">
        <v>38</v>
      </c>
      <c r="AS17" s="6" t="s">
        <v>38</v>
      </c>
      <c r="AT17" s="6" t="s">
        <v>38</v>
      </c>
      <c r="AU17" s="6" t="s">
        <v>38</v>
      </c>
      <c r="AV17" s="6" t="s">
        <v>38</v>
      </c>
      <c r="AW17" s="6" t="s">
        <v>38</v>
      </c>
      <c r="AX17" s="6" t="s">
        <v>38</v>
      </c>
      <c r="AY17" s="6" t="s">
        <v>38</v>
      </c>
      <c r="AZ17" s="6" t="s">
        <v>38</v>
      </c>
      <c r="BA17" s="6" t="s">
        <v>38</v>
      </c>
      <c r="BB17" s="6" t="s">
        <v>38</v>
      </c>
      <c r="BC17" s="6" t="s">
        <v>38</v>
      </c>
      <c r="BD17" s="7">
        <v>8057818.0505054202</v>
      </c>
      <c r="BE17" s="7">
        <v>2124780.2252796302</v>
      </c>
      <c r="BF17" s="7">
        <v>794587.62491015496</v>
      </c>
      <c r="BG17" s="6" t="s">
        <v>38</v>
      </c>
      <c r="BH17" s="6" t="s">
        <v>38</v>
      </c>
      <c r="BI17" s="7">
        <v>6333453.4234643597</v>
      </c>
      <c r="BJ17" s="7">
        <v>1649574.23829853</v>
      </c>
      <c r="BK17" s="7">
        <v>541800.71061530197</v>
      </c>
      <c r="BL17" s="6" t="s">
        <v>38</v>
      </c>
      <c r="BM17" s="6" t="s">
        <v>38</v>
      </c>
      <c r="BN17" s="7">
        <v>1724364.62704107</v>
      </c>
      <c r="BO17" s="7">
        <v>475205.9869811</v>
      </c>
      <c r="BP17" s="7">
        <v>252786.91429485299</v>
      </c>
      <c r="BQ17" s="6" t="s">
        <v>38</v>
      </c>
      <c r="BR17" s="6" t="s">
        <v>38</v>
      </c>
      <c r="BS17" s="6" t="s">
        <v>38</v>
      </c>
      <c r="BT17" s="6" t="s">
        <v>38</v>
      </c>
      <c r="BU17" s="6" t="s">
        <v>38</v>
      </c>
      <c r="BV17" s="6" t="s">
        <v>38</v>
      </c>
      <c r="BW17" s="6" t="s">
        <v>38</v>
      </c>
    </row>
    <row r="18" spans="1:75" ht="15">
      <c r="A18" s="2" t="s">
        <v>127</v>
      </c>
      <c r="B18" s="5">
        <v>4086997</v>
      </c>
      <c r="C18" s="2" t="s">
        <v>128</v>
      </c>
      <c r="D18" s="2" t="s">
        <v>129</v>
      </c>
      <c r="E18" s="2" t="s">
        <v>130</v>
      </c>
      <c r="F18" s="2" t="s">
        <v>43</v>
      </c>
      <c r="G18" s="2" t="s">
        <v>44</v>
      </c>
      <c r="H18" s="2" t="s">
        <v>45</v>
      </c>
      <c r="I18" s="2" t="s">
        <v>45</v>
      </c>
      <c r="J18" s="2" t="s">
        <v>46</v>
      </c>
      <c r="K18" s="2" t="s">
        <v>131</v>
      </c>
      <c r="L18" s="2" t="s">
        <v>132</v>
      </c>
      <c r="M18" s="2" t="s">
        <v>133</v>
      </c>
      <c r="N18" s="2" t="s">
        <v>134</v>
      </c>
      <c r="O18" s="2" t="s">
        <v>135</v>
      </c>
      <c r="P18" s="7">
        <v>120801359.50878599</v>
      </c>
      <c r="Q18" s="7">
        <v>93272883.684331402</v>
      </c>
      <c r="R18" s="7">
        <v>104805885.09842899</v>
      </c>
      <c r="S18" s="7">
        <v>15218385.507511901</v>
      </c>
      <c r="T18" s="7">
        <v>43843113.319384404</v>
      </c>
      <c r="U18" s="7">
        <v>23714591.259175099</v>
      </c>
      <c r="V18" s="7">
        <v>12828428.222376799</v>
      </c>
      <c r="W18" s="7">
        <v>20215127.1736334</v>
      </c>
      <c r="X18" s="7">
        <v>1097675.7763244</v>
      </c>
      <c r="Y18" s="7">
        <v>9560950.4812996592</v>
      </c>
      <c r="Z18" s="6" t="s">
        <v>38</v>
      </c>
      <c r="AA18" s="6" t="s">
        <v>38</v>
      </c>
      <c r="AB18" s="6" t="s">
        <v>38</v>
      </c>
      <c r="AC18" s="6" t="s">
        <v>38</v>
      </c>
      <c r="AD18" s="6" t="s">
        <v>38</v>
      </c>
      <c r="AE18" s="6" t="s">
        <v>38</v>
      </c>
      <c r="AF18" s="6" t="s">
        <v>38</v>
      </c>
      <c r="AG18" s="6" t="s">
        <v>38</v>
      </c>
      <c r="AH18" s="6" t="s">
        <v>38</v>
      </c>
      <c r="AI18" s="6" t="s">
        <v>38</v>
      </c>
      <c r="AJ18" s="6" t="s">
        <v>38</v>
      </c>
      <c r="AK18" s="6" t="s">
        <v>38</v>
      </c>
      <c r="AL18" s="6" t="s">
        <v>38</v>
      </c>
      <c r="AM18" s="6" t="s">
        <v>38</v>
      </c>
      <c r="AN18" s="6" t="s">
        <v>38</v>
      </c>
      <c r="AO18" s="7">
        <v>-352064.73458308598</v>
      </c>
      <c r="AP18" s="7">
        <v>-156264.87777653401</v>
      </c>
      <c r="AQ18" s="7">
        <v>-20894.118862390202</v>
      </c>
      <c r="AR18" s="7">
        <v>-17552.929041510401</v>
      </c>
      <c r="AS18" s="7">
        <v>-28176.686011309699</v>
      </c>
      <c r="AT18" s="6" t="s">
        <v>38</v>
      </c>
      <c r="AU18" s="6" t="s">
        <v>38</v>
      </c>
      <c r="AV18" s="6" t="s">
        <v>38</v>
      </c>
      <c r="AW18" s="6" t="s">
        <v>38</v>
      </c>
      <c r="AX18" s="6" t="s">
        <v>38</v>
      </c>
      <c r="AY18" s="7">
        <v>238559.20083853701</v>
      </c>
      <c r="AZ18" s="7">
        <v>105294.20928528</v>
      </c>
      <c r="BA18" s="7">
        <v>14687.8003576965</v>
      </c>
      <c r="BB18" s="7">
        <v>10394.488262684799</v>
      </c>
      <c r="BC18" s="7">
        <v>21100.022605722399</v>
      </c>
      <c r="BD18" s="7">
        <v>3394378.7006201898</v>
      </c>
      <c r="BE18" s="7">
        <v>3576150.8172959001</v>
      </c>
      <c r="BF18" s="7">
        <v>2519172.4269496901</v>
      </c>
      <c r="BG18" s="7">
        <v>248651.40488228801</v>
      </c>
      <c r="BH18" s="7">
        <v>263977.36081329</v>
      </c>
      <c r="BI18" s="6" t="s">
        <v>38</v>
      </c>
      <c r="BJ18" s="6" t="s">
        <v>38</v>
      </c>
      <c r="BK18" s="6" t="s">
        <v>38</v>
      </c>
      <c r="BL18" s="6" t="s">
        <v>38</v>
      </c>
      <c r="BM18" s="6" t="s">
        <v>38</v>
      </c>
      <c r="BN18" s="6" t="s">
        <v>38</v>
      </c>
      <c r="BO18" s="6" t="s">
        <v>38</v>
      </c>
      <c r="BP18" s="6" t="s">
        <v>38</v>
      </c>
      <c r="BQ18" s="6" t="s">
        <v>38</v>
      </c>
      <c r="BR18" s="6" t="s">
        <v>38</v>
      </c>
      <c r="BS18" s="6" t="s">
        <v>38</v>
      </c>
      <c r="BT18" s="6" t="s">
        <v>38</v>
      </c>
      <c r="BU18" s="6" t="s">
        <v>38</v>
      </c>
      <c r="BV18" s="6" t="s">
        <v>38</v>
      </c>
      <c r="BW18" s="6" t="s">
        <v>38</v>
      </c>
    </row>
    <row r="19" spans="1:75" ht="15">
      <c r="A19" s="2" t="s">
        <v>136</v>
      </c>
      <c r="B19" s="5">
        <v>4226356</v>
      </c>
      <c r="C19" s="2" t="s">
        <v>137</v>
      </c>
      <c r="D19" s="2" t="s">
        <v>41</v>
      </c>
      <c r="E19" s="2" t="s">
        <v>138</v>
      </c>
      <c r="F19" s="2" t="s">
        <v>43</v>
      </c>
      <c r="G19" s="2" t="s">
        <v>44</v>
      </c>
      <c r="H19" s="2" t="s">
        <v>45</v>
      </c>
      <c r="I19" s="2" t="s">
        <v>45</v>
      </c>
      <c r="J19" s="2" t="s">
        <v>46</v>
      </c>
      <c r="K19" s="2" t="s">
        <v>47</v>
      </c>
      <c r="L19" s="2" t="s">
        <v>68</v>
      </c>
      <c r="M19" s="2" t="s">
        <v>48</v>
      </c>
      <c r="N19" s="2" t="s">
        <v>139</v>
      </c>
      <c r="O19" s="2"/>
      <c r="P19" s="7">
        <v>3907397331.0050302</v>
      </c>
      <c r="Q19" s="7">
        <v>22820357.946509998</v>
      </c>
      <c r="R19" s="7">
        <v>1724899268.64149</v>
      </c>
      <c r="S19" s="7">
        <v>19178148.272562001</v>
      </c>
      <c r="T19" s="6" t="s">
        <v>38</v>
      </c>
      <c r="U19" s="7">
        <v>55862910.102922902</v>
      </c>
      <c r="V19" s="7">
        <v>357072.32082763501</v>
      </c>
      <c r="W19" s="7">
        <v>48160220.175985903</v>
      </c>
      <c r="X19" s="6" t="s">
        <v>38</v>
      </c>
      <c r="Y19" s="6" t="s">
        <v>38</v>
      </c>
      <c r="Z19" s="6" t="s">
        <v>38</v>
      </c>
      <c r="AA19" s="6" t="s">
        <v>38</v>
      </c>
      <c r="AB19" s="6" t="s">
        <v>38</v>
      </c>
      <c r="AC19" s="6" t="s">
        <v>38</v>
      </c>
      <c r="AD19" s="6" t="s">
        <v>38</v>
      </c>
      <c r="AE19" s="7">
        <v>37620587.0238989</v>
      </c>
      <c r="AF19" s="7">
        <v>-29271.2034894344</v>
      </c>
      <c r="AG19" s="7">
        <v>25773931.002957601</v>
      </c>
      <c r="AH19" s="6" t="s">
        <v>38</v>
      </c>
      <c r="AI19" s="6" t="s">
        <v>38</v>
      </c>
      <c r="AJ19" s="6" t="s">
        <v>38</v>
      </c>
      <c r="AK19" s="6" t="s">
        <v>38</v>
      </c>
      <c r="AL19" s="6" t="s">
        <v>38</v>
      </c>
      <c r="AM19" s="6" t="s">
        <v>38</v>
      </c>
      <c r="AN19" s="6" t="s">
        <v>38</v>
      </c>
      <c r="AO19" s="7">
        <v>-3467092.23940071</v>
      </c>
      <c r="AP19" s="7">
        <v>-45633.988048745603</v>
      </c>
      <c r="AQ19" s="7">
        <v>-4526128.01782279</v>
      </c>
      <c r="AR19" s="6" t="s">
        <v>38</v>
      </c>
      <c r="AS19" s="6" t="s">
        <v>38</v>
      </c>
      <c r="AT19" s="6" t="s">
        <v>38</v>
      </c>
      <c r="AU19" s="6" t="s">
        <v>38</v>
      </c>
      <c r="AV19" s="6" t="s">
        <v>38</v>
      </c>
      <c r="AW19" s="6" t="s">
        <v>38</v>
      </c>
      <c r="AX19" s="6" t="s">
        <v>38</v>
      </c>
      <c r="AY19" s="7">
        <v>1863357.54387089</v>
      </c>
      <c r="AZ19" s="7">
        <v>23635.133252338299</v>
      </c>
      <c r="BA19" s="7">
        <v>2324424.4510088102</v>
      </c>
      <c r="BB19" s="6" t="s">
        <v>38</v>
      </c>
      <c r="BC19" s="6" t="s">
        <v>38</v>
      </c>
      <c r="BD19" s="7">
        <v>37620587.0238989</v>
      </c>
      <c r="BE19" s="7">
        <v>838683.61302335898</v>
      </c>
      <c r="BF19" s="7">
        <v>25773931.002957601</v>
      </c>
      <c r="BG19" s="6" t="s">
        <v>38</v>
      </c>
      <c r="BH19" s="6" t="s">
        <v>38</v>
      </c>
      <c r="BI19" s="6" t="s">
        <v>38</v>
      </c>
      <c r="BJ19" s="6" t="s">
        <v>38</v>
      </c>
      <c r="BK19" s="6" t="s">
        <v>38</v>
      </c>
      <c r="BL19" s="6" t="s">
        <v>38</v>
      </c>
      <c r="BM19" s="6" t="s">
        <v>38</v>
      </c>
      <c r="BN19" s="6" t="s">
        <v>38</v>
      </c>
      <c r="BO19" s="6" t="s">
        <v>38</v>
      </c>
      <c r="BP19" s="6" t="s">
        <v>38</v>
      </c>
      <c r="BQ19" s="6" t="s">
        <v>38</v>
      </c>
      <c r="BR19" s="6" t="s">
        <v>38</v>
      </c>
      <c r="BS19" s="6" t="s">
        <v>38</v>
      </c>
      <c r="BT19" s="6" t="s">
        <v>38</v>
      </c>
      <c r="BU19" s="6" t="s">
        <v>38</v>
      </c>
      <c r="BV19" s="6" t="s">
        <v>38</v>
      </c>
      <c r="BW19" s="6" t="s">
        <v>38</v>
      </c>
    </row>
    <row r="20" spans="1:75" ht="15">
      <c r="A20" s="2" t="s">
        <v>140</v>
      </c>
      <c r="B20" s="5">
        <v>4049169</v>
      </c>
      <c r="C20" s="2" t="s">
        <v>141</v>
      </c>
      <c r="D20" s="2" t="s">
        <v>54</v>
      </c>
      <c r="E20" s="2" t="s">
        <v>142</v>
      </c>
      <c r="F20" s="2" t="s">
        <v>143</v>
      </c>
      <c r="G20" s="2" t="s">
        <v>44</v>
      </c>
      <c r="H20" s="2" t="s">
        <v>144</v>
      </c>
      <c r="I20" s="2" t="s">
        <v>145</v>
      </c>
      <c r="J20" s="2" t="s">
        <v>146</v>
      </c>
      <c r="K20" s="2" t="s">
        <v>147</v>
      </c>
      <c r="L20" s="2" t="s">
        <v>148</v>
      </c>
      <c r="M20" s="2" t="s">
        <v>149</v>
      </c>
      <c r="N20" s="2" t="s">
        <v>150</v>
      </c>
      <c r="O20" s="2" t="s">
        <v>151</v>
      </c>
      <c r="P20" s="7">
        <v>13867184.302261</v>
      </c>
      <c r="Q20" s="7">
        <v>178846607.11268401</v>
      </c>
      <c r="R20" s="7">
        <v>169704720.92502901</v>
      </c>
      <c r="S20" s="7">
        <v>37822729.704686999</v>
      </c>
      <c r="T20" s="7">
        <v>77508334.330632001</v>
      </c>
      <c r="U20" s="7">
        <v>4033787.4506615498</v>
      </c>
      <c r="V20" s="7">
        <v>3011701.4081122698</v>
      </c>
      <c r="W20" s="7">
        <v>6650805.0908836396</v>
      </c>
      <c r="X20" s="7">
        <v>2606788.2553091701</v>
      </c>
      <c r="Y20" s="7">
        <v>300061.95744566002</v>
      </c>
      <c r="Z20" s="6" t="s">
        <v>38</v>
      </c>
      <c r="AA20" s="6" t="s">
        <v>38</v>
      </c>
      <c r="AB20" s="6" t="s">
        <v>38</v>
      </c>
      <c r="AC20" s="6" t="s">
        <v>38</v>
      </c>
      <c r="AD20" s="6" t="s">
        <v>38</v>
      </c>
      <c r="AE20" s="6" t="s">
        <v>38</v>
      </c>
      <c r="AF20" s="6" t="s">
        <v>38</v>
      </c>
      <c r="AG20" s="6" t="s">
        <v>38</v>
      </c>
      <c r="AH20" s="6" t="s">
        <v>38</v>
      </c>
      <c r="AI20" s="6" t="s">
        <v>38</v>
      </c>
      <c r="AJ20" s="6" t="s">
        <v>38</v>
      </c>
      <c r="AK20" s="6" t="s">
        <v>38</v>
      </c>
      <c r="AL20" s="6" t="s">
        <v>38</v>
      </c>
      <c r="AM20" s="6" t="s">
        <v>38</v>
      </c>
      <c r="AN20" s="6" t="s">
        <v>38</v>
      </c>
      <c r="AO20" s="6" t="s">
        <v>38</v>
      </c>
      <c r="AP20" s="6" t="s">
        <v>38</v>
      </c>
      <c r="AQ20" s="6" t="s">
        <v>38</v>
      </c>
      <c r="AR20" s="6" t="s">
        <v>38</v>
      </c>
      <c r="AS20" s="6" t="s">
        <v>38</v>
      </c>
      <c r="AT20" s="6" t="s">
        <v>38</v>
      </c>
      <c r="AU20" s="6" t="s">
        <v>38</v>
      </c>
      <c r="AV20" s="6" t="s">
        <v>38</v>
      </c>
      <c r="AW20" s="6" t="s">
        <v>38</v>
      </c>
      <c r="AX20" s="6" t="s">
        <v>38</v>
      </c>
      <c r="AY20" s="6" t="s">
        <v>38</v>
      </c>
      <c r="AZ20" s="6" t="s">
        <v>38</v>
      </c>
      <c r="BA20" s="6" t="s">
        <v>38</v>
      </c>
      <c r="BB20" s="6" t="s">
        <v>38</v>
      </c>
      <c r="BC20" s="6" t="s">
        <v>38</v>
      </c>
      <c r="BD20" s="7">
        <v>2224891.2185601499</v>
      </c>
      <c r="BE20" s="7">
        <v>1372442.4758168</v>
      </c>
      <c r="BF20" s="7">
        <v>3586251.8607212901</v>
      </c>
      <c r="BG20" s="7">
        <v>1300836.7814263599</v>
      </c>
      <c r="BH20" s="7">
        <v>-2748294.7466045702</v>
      </c>
      <c r="BI20" s="6" t="s">
        <v>38</v>
      </c>
      <c r="BJ20" s="6" t="s">
        <v>38</v>
      </c>
      <c r="BK20" s="6" t="s">
        <v>38</v>
      </c>
      <c r="BL20" s="6" t="s">
        <v>38</v>
      </c>
      <c r="BM20" s="6" t="s">
        <v>38</v>
      </c>
      <c r="BN20" s="6" t="s">
        <v>38</v>
      </c>
      <c r="BO20" s="6" t="s">
        <v>38</v>
      </c>
      <c r="BP20" s="6" t="s">
        <v>38</v>
      </c>
      <c r="BQ20" s="6" t="s">
        <v>38</v>
      </c>
      <c r="BR20" s="6" t="s">
        <v>38</v>
      </c>
      <c r="BS20" s="6" t="s">
        <v>38</v>
      </c>
      <c r="BT20" s="6" t="s">
        <v>38</v>
      </c>
      <c r="BU20" s="6" t="s">
        <v>38</v>
      </c>
      <c r="BV20" s="6" t="s">
        <v>38</v>
      </c>
      <c r="BW20" s="6" t="s">
        <v>38</v>
      </c>
    </row>
    <row r="21" spans="1:75" ht="15">
      <c r="A21" s="2" t="s">
        <v>152</v>
      </c>
      <c r="B21" s="5">
        <v>4968055</v>
      </c>
      <c r="C21" s="2" t="s">
        <v>153</v>
      </c>
      <c r="D21" s="2" t="s">
        <v>72</v>
      </c>
      <c r="E21" s="2"/>
      <c r="F21" s="2" t="s">
        <v>154</v>
      </c>
      <c r="G21" s="2" t="s">
        <v>75</v>
      </c>
      <c r="H21" s="2" t="s">
        <v>155</v>
      </c>
      <c r="I21" s="2" t="s">
        <v>155</v>
      </c>
      <c r="J21" s="2" t="s">
        <v>156</v>
      </c>
      <c r="K21" s="2" t="s">
        <v>157</v>
      </c>
      <c r="L21" s="2"/>
      <c r="M21" s="2"/>
      <c r="N21" s="2"/>
      <c r="O21" s="2"/>
      <c r="P21" s="7">
        <v>30465522.304824602</v>
      </c>
      <c r="Q21" s="6" t="s">
        <v>38</v>
      </c>
      <c r="R21" s="6" t="s">
        <v>38</v>
      </c>
      <c r="S21" s="6" t="s">
        <v>38</v>
      </c>
      <c r="T21" s="6" t="s">
        <v>38</v>
      </c>
      <c r="U21" s="7">
        <v>25002441.156660199</v>
      </c>
      <c r="V21" s="6" t="s">
        <v>38</v>
      </c>
      <c r="W21" s="6" t="s">
        <v>38</v>
      </c>
      <c r="X21" s="6" t="s">
        <v>38</v>
      </c>
      <c r="Y21" s="6" t="s">
        <v>38</v>
      </c>
      <c r="Z21" s="7">
        <v>-27354.581320102701</v>
      </c>
      <c r="AA21" s="6" t="s">
        <v>38</v>
      </c>
      <c r="AB21" s="6" t="s">
        <v>38</v>
      </c>
      <c r="AC21" s="6" t="s">
        <v>38</v>
      </c>
      <c r="AD21" s="6" t="s">
        <v>38</v>
      </c>
      <c r="AE21" s="7">
        <v>4340845.5199188497</v>
      </c>
      <c r="AF21" s="6" t="s">
        <v>38</v>
      </c>
      <c r="AG21" s="6" t="s">
        <v>38</v>
      </c>
      <c r="AH21" s="6" t="s">
        <v>38</v>
      </c>
      <c r="AI21" s="6" t="s">
        <v>38</v>
      </c>
      <c r="AJ21" s="7">
        <v>11876001.8928126</v>
      </c>
      <c r="AK21" s="6" t="s">
        <v>38</v>
      </c>
      <c r="AL21" s="6" t="s">
        <v>38</v>
      </c>
      <c r="AM21" s="6" t="s">
        <v>38</v>
      </c>
      <c r="AN21" s="6" t="s">
        <v>38</v>
      </c>
      <c r="AO21" s="7">
        <v>-631772.34533930605</v>
      </c>
      <c r="AP21" s="6" t="s">
        <v>38</v>
      </c>
      <c r="AQ21" s="6" t="s">
        <v>38</v>
      </c>
      <c r="AR21" s="6" t="s">
        <v>38</v>
      </c>
      <c r="AS21" s="6" t="s">
        <v>38</v>
      </c>
      <c r="AT21" s="6" t="s">
        <v>38</v>
      </c>
      <c r="AU21" s="6" t="s">
        <v>38</v>
      </c>
      <c r="AV21" s="6" t="s">
        <v>38</v>
      </c>
      <c r="AW21" s="6" t="s">
        <v>38</v>
      </c>
      <c r="AX21" s="6" t="s">
        <v>38</v>
      </c>
      <c r="AY21" s="7">
        <v>942448.41823340696</v>
      </c>
      <c r="AZ21" s="6" t="s">
        <v>38</v>
      </c>
      <c r="BA21" s="6" t="s">
        <v>38</v>
      </c>
      <c r="BB21" s="6" t="s">
        <v>38</v>
      </c>
      <c r="BC21" s="6" t="s">
        <v>38</v>
      </c>
      <c r="BD21" s="7">
        <v>5239395.4719144199</v>
      </c>
      <c r="BE21" s="6" t="s">
        <v>38</v>
      </c>
      <c r="BF21" s="6" t="s">
        <v>38</v>
      </c>
      <c r="BG21" s="6" t="s">
        <v>38</v>
      </c>
      <c r="BH21" s="6" t="s">
        <v>38</v>
      </c>
      <c r="BI21" s="7">
        <v>4418439.7782166097</v>
      </c>
      <c r="BJ21" s="6" t="s">
        <v>38</v>
      </c>
      <c r="BK21" s="6" t="s">
        <v>38</v>
      </c>
      <c r="BL21" s="6" t="s">
        <v>38</v>
      </c>
      <c r="BM21" s="6" t="s">
        <v>38</v>
      </c>
      <c r="BN21" s="7">
        <v>787463.91820295097</v>
      </c>
      <c r="BO21" s="6" t="s">
        <v>38</v>
      </c>
      <c r="BP21" s="6" t="s">
        <v>38</v>
      </c>
      <c r="BQ21" s="6" t="s">
        <v>38</v>
      </c>
      <c r="BR21" s="6" t="s">
        <v>38</v>
      </c>
      <c r="BS21" s="6" t="s">
        <v>38</v>
      </c>
      <c r="BT21" s="6" t="s">
        <v>38</v>
      </c>
      <c r="BU21" s="6" t="s">
        <v>38</v>
      </c>
      <c r="BV21" s="6" t="s">
        <v>38</v>
      </c>
      <c r="BW21" s="6" t="s">
        <v>38</v>
      </c>
    </row>
    <row r="22" spans="1:75" ht="15">
      <c r="A22" s="2" t="s">
        <v>158</v>
      </c>
      <c r="B22" s="5">
        <v>4005723</v>
      </c>
      <c r="C22" s="2" t="s">
        <v>159</v>
      </c>
      <c r="D22" s="2" t="s">
        <v>54</v>
      </c>
      <c r="E22" s="2" t="s">
        <v>160</v>
      </c>
      <c r="F22" s="2" t="s">
        <v>43</v>
      </c>
      <c r="G22" s="2" t="s">
        <v>44</v>
      </c>
      <c r="H22" s="2" t="s">
        <v>45</v>
      </c>
      <c r="I22" s="2" t="s">
        <v>45</v>
      </c>
      <c r="J22" s="2" t="s">
        <v>46</v>
      </c>
      <c r="K22" s="2" t="s">
        <v>161</v>
      </c>
      <c r="L22" s="2" t="s">
        <v>48</v>
      </c>
      <c r="M22" s="2" t="s">
        <v>162</v>
      </c>
      <c r="N22" s="2" t="s">
        <v>163</v>
      </c>
      <c r="O22" s="2" t="s">
        <v>164</v>
      </c>
      <c r="P22" s="7">
        <v>236978723.48581201</v>
      </c>
      <c r="Q22" s="7">
        <v>232047251.93403599</v>
      </c>
      <c r="R22" s="7">
        <v>250128745.099464</v>
      </c>
      <c r="S22" s="7">
        <v>101974567.03618801</v>
      </c>
      <c r="T22" s="7">
        <v>125773015.449312</v>
      </c>
      <c r="U22" s="7">
        <v>6777555.4510113597</v>
      </c>
      <c r="V22" s="7">
        <v>3701314.33653082</v>
      </c>
      <c r="W22" s="7">
        <v>3343887.6431633201</v>
      </c>
      <c r="X22" s="7">
        <v>2685782.0963705401</v>
      </c>
      <c r="Y22" s="7">
        <v>414174.53330974199</v>
      </c>
      <c r="Z22" s="6" t="s">
        <v>38</v>
      </c>
      <c r="AA22" s="6" t="s">
        <v>38</v>
      </c>
      <c r="AB22" s="6" t="s">
        <v>38</v>
      </c>
      <c r="AC22" s="6" t="s">
        <v>38</v>
      </c>
      <c r="AD22" s="6" t="s">
        <v>38</v>
      </c>
      <c r="AE22" s="6" t="s">
        <v>38</v>
      </c>
      <c r="AF22" s="6" t="s">
        <v>38</v>
      </c>
      <c r="AG22" s="6" t="s">
        <v>38</v>
      </c>
      <c r="AH22" s="6" t="s">
        <v>38</v>
      </c>
      <c r="AI22" s="6" t="s">
        <v>38</v>
      </c>
      <c r="AJ22" s="6" t="s">
        <v>38</v>
      </c>
      <c r="AK22" s="6" t="s">
        <v>38</v>
      </c>
      <c r="AL22" s="6" t="s">
        <v>38</v>
      </c>
      <c r="AM22" s="6" t="s">
        <v>38</v>
      </c>
      <c r="AN22" s="6" t="s">
        <v>38</v>
      </c>
      <c r="AO22" s="6" t="s">
        <v>38</v>
      </c>
      <c r="AP22" s="6" t="s">
        <v>38</v>
      </c>
      <c r="AQ22" s="6" t="s">
        <v>38</v>
      </c>
      <c r="AR22" s="6" t="s">
        <v>38</v>
      </c>
      <c r="AS22" s="6" t="s">
        <v>38</v>
      </c>
      <c r="AT22" s="6" t="s">
        <v>38</v>
      </c>
      <c r="AU22" s="6" t="s">
        <v>38</v>
      </c>
      <c r="AV22" s="6" t="s">
        <v>38</v>
      </c>
      <c r="AW22" s="6" t="s">
        <v>38</v>
      </c>
      <c r="AX22" s="6" t="s">
        <v>38</v>
      </c>
      <c r="AY22" s="6" t="s">
        <v>38</v>
      </c>
      <c r="AZ22" s="6" t="s">
        <v>38</v>
      </c>
      <c r="BA22" s="6" t="s">
        <v>38</v>
      </c>
      <c r="BB22" s="6" t="s">
        <v>38</v>
      </c>
      <c r="BC22" s="6" t="s">
        <v>38</v>
      </c>
      <c r="BD22" s="7">
        <v>4040107.4108128198</v>
      </c>
      <c r="BE22" s="7">
        <v>1515252.02472623</v>
      </c>
      <c r="BF22" s="7">
        <v>2164887.7446619598</v>
      </c>
      <c r="BG22" s="7">
        <v>1633829.6007249299</v>
      </c>
      <c r="BH22" s="7">
        <v>-772448.20936295495</v>
      </c>
      <c r="BI22" s="7">
        <v>2804359.6723692399</v>
      </c>
      <c r="BJ22" s="7">
        <v>1043482.66878855</v>
      </c>
      <c r="BK22" s="7">
        <v>1579622.70883981</v>
      </c>
      <c r="BL22" s="7">
        <v>1128180.9373590499</v>
      </c>
      <c r="BM22" s="7">
        <v>-830890.01467659895</v>
      </c>
      <c r="BN22" s="7">
        <v>1219655.0674151899</v>
      </c>
      <c r="BO22" s="7">
        <v>453982.71953787701</v>
      </c>
      <c r="BP22" s="7">
        <v>594581.84536490601</v>
      </c>
      <c r="BQ22" s="7">
        <v>454829.70222358202</v>
      </c>
      <c r="BR22" s="7">
        <v>-180407.31205516399</v>
      </c>
      <c r="BS22" s="6" t="s">
        <v>38</v>
      </c>
      <c r="BT22" s="6" t="s">
        <v>38</v>
      </c>
      <c r="BU22" s="6" t="s">
        <v>38</v>
      </c>
      <c r="BV22" s="6" t="s">
        <v>38</v>
      </c>
      <c r="BW22" s="6" t="s">
        <v>38</v>
      </c>
    </row>
    <row r="23" spans="1:75" ht="15">
      <c r="A23" s="2" t="s">
        <v>165</v>
      </c>
      <c r="B23" s="5">
        <v>4187135</v>
      </c>
      <c r="C23" s="2" t="s">
        <v>166</v>
      </c>
      <c r="D23" s="2" t="s">
        <v>92</v>
      </c>
      <c r="E23" s="2" t="s">
        <v>167</v>
      </c>
      <c r="F23" s="2" t="s">
        <v>43</v>
      </c>
      <c r="G23" s="2" t="s">
        <v>44</v>
      </c>
      <c r="H23" s="2" t="s">
        <v>45</v>
      </c>
      <c r="I23" s="2" t="s">
        <v>45</v>
      </c>
      <c r="J23" s="2" t="s">
        <v>46</v>
      </c>
      <c r="K23" s="2" t="s">
        <v>168</v>
      </c>
      <c r="L23" s="2" t="s">
        <v>169</v>
      </c>
      <c r="M23" s="2" t="s">
        <v>68</v>
      </c>
      <c r="N23" s="2" t="s">
        <v>170</v>
      </c>
      <c r="O23" s="2" t="s">
        <v>51</v>
      </c>
      <c r="P23" s="7">
        <v>225800000</v>
      </c>
      <c r="Q23" s="7">
        <v>151401000</v>
      </c>
      <c r="R23" s="7">
        <v>53198000</v>
      </c>
      <c r="S23" s="7">
        <v>157042000</v>
      </c>
      <c r="T23" s="7">
        <v>122970000</v>
      </c>
      <c r="U23" s="7">
        <v>5426000</v>
      </c>
      <c r="V23" s="7">
        <v>5358000</v>
      </c>
      <c r="W23" s="7">
        <v>29000</v>
      </c>
      <c r="X23" s="7">
        <v>1413000</v>
      </c>
      <c r="Y23" s="7">
        <v>1723000</v>
      </c>
      <c r="Z23" s="6" t="s">
        <v>38</v>
      </c>
      <c r="AA23" s="6" t="s">
        <v>38</v>
      </c>
      <c r="AB23" s="6" t="s">
        <v>38</v>
      </c>
      <c r="AC23" s="6" t="s">
        <v>38</v>
      </c>
      <c r="AD23" s="6" t="s">
        <v>38</v>
      </c>
      <c r="AE23" s="7">
        <v>4087000</v>
      </c>
      <c r="AF23" s="7">
        <v>2278000</v>
      </c>
      <c r="AG23" s="7">
        <v>-75000</v>
      </c>
      <c r="AH23" s="7">
        <v>945000</v>
      </c>
      <c r="AI23" s="7">
        <v>1497000</v>
      </c>
      <c r="AJ23" s="6" t="s">
        <v>38</v>
      </c>
      <c r="AK23" s="6" t="s">
        <v>38</v>
      </c>
      <c r="AL23" s="6" t="s">
        <v>38</v>
      </c>
      <c r="AM23" s="6" t="s">
        <v>38</v>
      </c>
      <c r="AN23" s="6" t="s">
        <v>38</v>
      </c>
      <c r="AO23" s="7">
        <v>-49000</v>
      </c>
      <c r="AP23" s="7">
        <v>-93000</v>
      </c>
      <c r="AQ23" s="7">
        <v>-829000</v>
      </c>
      <c r="AR23" s="7">
        <v>-1000</v>
      </c>
      <c r="AS23" s="7">
        <v>-120000</v>
      </c>
      <c r="AT23" s="6" t="s">
        <v>38</v>
      </c>
      <c r="AU23" s="6" t="s">
        <v>38</v>
      </c>
      <c r="AV23" s="6" t="s">
        <v>38</v>
      </c>
      <c r="AW23" s="6" t="s">
        <v>38</v>
      </c>
      <c r="AX23" s="6" t="s">
        <v>38</v>
      </c>
      <c r="AY23" s="7">
        <v>18000</v>
      </c>
      <c r="AZ23" s="7">
        <v>119000</v>
      </c>
      <c r="BA23" s="7">
        <v>406000</v>
      </c>
      <c r="BB23" s="7">
        <v>5000</v>
      </c>
      <c r="BC23" s="7">
        <v>17000</v>
      </c>
      <c r="BD23" s="7">
        <v>3588000</v>
      </c>
      <c r="BE23" s="7">
        <v>2209000</v>
      </c>
      <c r="BF23" s="7">
        <v>-190000</v>
      </c>
      <c r="BG23" s="7">
        <v>948000</v>
      </c>
      <c r="BH23" s="7">
        <v>1491000</v>
      </c>
      <c r="BI23" s="6" t="s">
        <v>38</v>
      </c>
      <c r="BJ23" s="6" t="s">
        <v>38</v>
      </c>
      <c r="BK23" s="6" t="s">
        <v>38</v>
      </c>
      <c r="BL23" s="6" t="s">
        <v>38</v>
      </c>
      <c r="BM23" s="6" t="s">
        <v>38</v>
      </c>
      <c r="BN23" s="6" t="s">
        <v>38</v>
      </c>
      <c r="BO23" s="6" t="s">
        <v>38</v>
      </c>
      <c r="BP23" s="6" t="s">
        <v>38</v>
      </c>
      <c r="BQ23" s="6" t="s">
        <v>38</v>
      </c>
      <c r="BR23" s="6" t="s">
        <v>38</v>
      </c>
      <c r="BS23" s="6" t="s">
        <v>38</v>
      </c>
      <c r="BT23" s="6" t="s">
        <v>38</v>
      </c>
      <c r="BU23" s="6" t="s">
        <v>38</v>
      </c>
      <c r="BV23" s="6" t="s">
        <v>38</v>
      </c>
      <c r="BW23" s="6" t="s">
        <v>38</v>
      </c>
    </row>
    <row r="24" spans="1:75" ht="15">
      <c r="A24" s="2" t="s">
        <v>171</v>
      </c>
      <c r="B24" s="5">
        <v>4157438</v>
      </c>
      <c r="C24" s="2" t="s">
        <v>172</v>
      </c>
      <c r="D24" s="2" t="s">
        <v>129</v>
      </c>
      <c r="E24" s="2" t="s">
        <v>173</v>
      </c>
      <c r="F24" s="2" t="s">
        <v>174</v>
      </c>
      <c r="G24" s="2" t="s">
        <v>175</v>
      </c>
      <c r="H24" s="2" t="s">
        <v>175</v>
      </c>
      <c r="I24" s="2" t="s">
        <v>176</v>
      </c>
      <c r="J24" s="2" t="s">
        <v>177</v>
      </c>
      <c r="K24" s="2" t="s">
        <v>178</v>
      </c>
      <c r="L24" s="2" t="s">
        <v>179</v>
      </c>
      <c r="M24" s="2" t="s">
        <v>180</v>
      </c>
      <c r="N24" s="2" t="s">
        <v>181</v>
      </c>
      <c r="O24" s="2" t="s">
        <v>68</v>
      </c>
      <c r="P24" s="7">
        <v>71260640.261439994</v>
      </c>
      <c r="Q24" s="7">
        <v>4238124.4236099999</v>
      </c>
      <c r="R24" s="7">
        <v>34344573.824539997</v>
      </c>
      <c r="S24" s="7">
        <v>87104707.528999999</v>
      </c>
      <c r="T24" s="7">
        <v>53864028.14373</v>
      </c>
      <c r="U24" s="7">
        <v>93601797.284484103</v>
      </c>
      <c r="V24" s="7">
        <v>3480941.5105031901</v>
      </c>
      <c r="W24" s="7">
        <v>47927674.020647198</v>
      </c>
      <c r="X24" s="7">
        <v>21899542.460150599</v>
      </c>
      <c r="Y24" s="7">
        <v>10340894.8770089</v>
      </c>
      <c r="Z24" s="6" t="s">
        <v>38</v>
      </c>
      <c r="AA24" s="6" t="s">
        <v>38</v>
      </c>
      <c r="AB24" s="6" t="s">
        <v>38</v>
      </c>
      <c r="AC24" s="6" t="s">
        <v>38</v>
      </c>
      <c r="AD24" s="6" t="s">
        <v>38</v>
      </c>
      <c r="AE24" s="7">
        <v>7412242.6979116797</v>
      </c>
      <c r="AF24" s="7">
        <v>1966161.7022869899</v>
      </c>
      <c r="AG24" s="7">
        <v>3039927.8191108298</v>
      </c>
      <c r="AH24" s="7">
        <v>7040301.6807009699</v>
      </c>
      <c r="AI24" s="7">
        <v>503514.96951021499</v>
      </c>
      <c r="AJ24" s="6" t="s">
        <v>38</v>
      </c>
      <c r="AK24" s="6" t="s">
        <v>38</v>
      </c>
      <c r="AL24" s="6" t="s">
        <v>38</v>
      </c>
      <c r="AM24" s="6" t="s">
        <v>38</v>
      </c>
      <c r="AN24" s="6" t="s">
        <v>38</v>
      </c>
      <c r="AO24" s="7">
        <v>-4726294.0801038602</v>
      </c>
      <c r="AP24" s="7">
        <v>-256430.47751158301</v>
      </c>
      <c r="AQ24" s="7">
        <v>-3085781.5605337401</v>
      </c>
      <c r="AR24" s="7">
        <v>-4833772.91350279</v>
      </c>
      <c r="AS24" s="7">
        <v>-7669695.3925887402</v>
      </c>
      <c r="AT24" s="6" t="s">
        <v>38</v>
      </c>
      <c r="AU24" s="6" t="s">
        <v>38</v>
      </c>
      <c r="AV24" s="6" t="s">
        <v>38</v>
      </c>
      <c r="AW24" s="6" t="s">
        <v>38</v>
      </c>
      <c r="AX24" s="6" t="s">
        <v>38</v>
      </c>
      <c r="AY24" s="7">
        <v>1429351.65938689</v>
      </c>
      <c r="AZ24" s="7">
        <v>815729.29805222095</v>
      </c>
      <c r="BA24" s="7">
        <v>907874.87396896898</v>
      </c>
      <c r="BB24" s="7">
        <v>4139833.4891662002</v>
      </c>
      <c r="BC24" s="7">
        <v>1081943.8541476701</v>
      </c>
      <c r="BD24" s="6" t="s">
        <v>38</v>
      </c>
      <c r="BE24" s="6" t="s">
        <v>38</v>
      </c>
      <c r="BF24" s="6" t="s">
        <v>38</v>
      </c>
      <c r="BG24" s="6" t="s">
        <v>38</v>
      </c>
      <c r="BH24" s="6" t="s">
        <v>38</v>
      </c>
      <c r="BI24" s="6" t="s">
        <v>38</v>
      </c>
      <c r="BJ24" s="6" t="s">
        <v>38</v>
      </c>
      <c r="BK24" s="6" t="s">
        <v>38</v>
      </c>
      <c r="BL24" s="6" t="s">
        <v>38</v>
      </c>
      <c r="BM24" s="6" t="s">
        <v>38</v>
      </c>
      <c r="BN24" s="6" t="s">
        <v>38</v>
      </c>
      <c r="BO24" s="6" t="s">
        <v>38</v>
      </c>
      <c r="BP24" s="6" t="s">
        <v>38</v>
      </c>
      <c r="BQ24" s="6" t="s">
        <v>38</v>
      </c>
      <c r="BR24" s="6" t="s">
        <v>38</v>
      </c>
      <c r="BS24" s="6" t="s">
        <v>38</v>
      </c>
      <c r="BT24" s="6" t="s">
        <v>38</v>
      </c>
      <c r="BU24" s="6" t="s">
        <v>38</v>
      </c>
      <c r="BV24" s="6" t="s">
        <v>38</v>
      </c>
      <c r="BW24" s="6" t="s">
        <v>38</v>
      </c>
    </row>
    <row r="25" spans="1:75" ht="15">
      <c r="A25" s="2" t="s">
        <v>182</v>
      </c>
      <c r="B25" s="5">
        <v>4556629</v>
      </c>
      <c r="C25" s="2" t="s">
        <v>183</v>
      </c>
      <c r="D25" s="2" t="s">
        <v>118</v>
      </c>
      <c r="E25" s="2" t="s">
        <v>184</v>
      </c>
      <c r="F25" s="2" t="s">
        <v>185</v>
      </c>
      <c r="G25" s="2" t="s">
        <v>75</v>
      </c>
      <c r="H25" s="2" t="s">
        <v>76</v>
      </c>
      <c r="I25" s="2" t="s">
        <v>77</v>
      </c>
      <c r="J25" s="2" t="s">
        <v>101</v>
      </c>
      <c r="K25" s="2" t="s">
        <v>186</v>
      </c>
      <c r="L25" s="2" t="s">
        <v>187</v>
      </c>
      <c r="M25" s="2" t="s">
        <v>188</v>
      </c>
      <c r="N25" s="2"/>
      <c r="O25" s="2"/>
      <c r="P25" s="6" t="s">
        <v>38</v>
      </c>
      <c r="Q25" s="6" t="s">
        <v>38</v>
      </c>
      <c r="R25" s="6" t="s">
        <v>38</v>
      </c>
      <c r="S25" s="6" t="s">
        <v>38</v>
      </c>
      <c r="T25" s="6" t="s">
        <v>38</v>
      </c>
      <c r="U25" s="7">
        <v>4782262.1238430496</v>
      </c>
      <c r="V25" s="7">
        <v>2117453.8949481999</v>
      </c>
      <c r="W25" s="7">
        <v>3508805.3467860799</v>
      </c>
      <c r="X25" s="6" t="s">
        <v>38</v>
      </c>
      <c r="Y25" s="6" t="s">
        <v>38</v>
      </c>
      <c r="Z25" s="6" t="s">
        <v>38</v>
      </c>
      <c r="AA25" s="6" t="s">
        <v>38</v>
      </c>
      <c r="AB25" s="6" t="s">
        <v>38</v>
      </c>
      <c r="AC25" s="6" t="s">
        <v>38</v>
      </c>
      <c r="AD25" s="6" t="s">
        <v>38</v>
      </c>
      <c r="AE25" s="7">
        <v>560568.22255547903</v>
      </c>
      <c r="AF25" s="7">
        <v>124398.586815469</v>
      </c>
      <c r="AG25" s="7">
        <v>155234.67329332401</v>
      </c>
      <c r="AH25" s="6" t="s">
        <v>38</v>
      </c>
      <c r="AI25" s="6" t="s">
        <v>38</v>
      </c>
      <c r="AJ25" s="6" t="s">
        <v>38</v>
      </c>
      <c r="AK25" s="6" t="s">
        <v>38</v>
      </c>
      <c r="AL25" s="6" t="s">
        <v>38</v>
      </c>
      <c r="AM25" s="6" t="s">
        <v>38</v>
      </c>
      <c r="AN25" s="6" t="s">
        <v>38</v>
      </c>
      <c r="AO25" s="6" t="s">
        <v>38</v>
      </c>
      <c r="AP25" s="6" t="s">
        <v>38</v>
      </c>
      <c r="AQ25" s="6" t="s">
        <v>38</v>
      </c>
      <c r="AR25" s="6" t="s">
        <v>38</v>
      </c>
      <c r="AS25" s="6" t="s">
        <v>38</v>
      </c>
      <c r="AT25" s="6" t="s">
        <v>38</v>
      </c>
      <c r="AU25" s="6" t="s">
        <v>38</v>
      </c>
      <c r="AV25" s="6" t="s">
        <v>38</v>
      </c>
      <c r="AW25" s="6" t="s">
        <v>38</v>
      </c>
      <c r="AX25" s="6" t="s">
        <v>38</v>
      </c>
      <c r="AY25" s="7">
        <v>415342.39833372599</v>
      </c>
      <c r="AZ25" s="7">
        <v>345984.20203307201</v>
      </c>
      <c r="BA25" s="7">
        <v>52469.183423358503</v>
      </c>
      <c r="BB25" s="6" t="s">
        <v>38</v>
      </c>
      <c r="BC25" s="6" t="s">
        <v>38</v>
      </c>
      <c r="BD25" s="6" t="s">
        <v>38</v>
      </c>
      <c r="BE25" s="6" t="s">
        <v>38</v>
      </c>
      <c r="BF25" s="6" t="s">
        <v>38</v>
      </c>
      <c r="BG25" s="6" t="s">
        <v>38</v>
      </c>
      <c r="BH25" s="6" t="s">
        <v>38</v>
      </c>
      <c r="BI25" s="6" t="s">
        <v>38</v>
      </c>
      <c r="BJ25" s="6" t="s">
        <v>38</v>
      </c>
      <c r="BK25" s="6" t="s">
        <v>38</v>
      </c>
      <c r="BL25" s="6" t="s">
        <v>38</v>
      </c>
      <c r="BM25" s="6" t="s">
        <v>38</v>
      </c>
      <c r="BN25" s="6" t="s">
        <v>38</v>
      </c>
      <c r="BO25" s="6" t="s">
        <v>38</v>
      </c>
      <c r="BP25" s="6" t="s">
        <v>38</v>
      </c>
      <c r="BQ25" s="6" t="s">
        <v>38</v>
      </c>
      <c r="BR25" s="6" t="s">
        <v>38</v>
      </c>
      <c r="BS25" s="6" t="s">
        <v>38</v>
      </c>
      <c r="BT25" s="6" t="s">
        <v>38</v>
      </c>
      <c r="BU25" s="6" t="s">
        <v>38</v>
      </c>
      <c r="BV25" s="6" t="s">
        <v>38</v>
      </c>
      <c r="BW25" s="6" t="s">
        <v>38</v>
      </c>
    </row>
    <row r="26" spans="1:75" ht="15">
      <c r="A26" s="2" t="s">
        <v>189</v>
      </c>
      <c r="B26" s="5">
        <v>4389031</v>
      </c>
      <c r="C26" s="2" t="s">
        <v>190</v>
      </c>
      <c r="D26" s="2" t="s">
        <v>118</v>
      </c>
      <c r="E26" s="2" t="s">
        <v>191</v>
      </c>
      <c r="F26" s="2" t="s">
        <v>192</v>
      </c>
      <c r="G26" s="2" t="s">
        <v>75</v>
      </c>
      <c r="H26" s="2" t="s">
        <v>76</v>
      </c>
      <c r="I26" s="2" t="s">
        <v>193</v>
      </c>
      <c r="J26" s="2" t="s">
        <v>193</v>
      </c>
      <c r="K26" s="2" t="s">
        <v>194</v>
      </c>
      <c r="L26" s="2" t="s">
        <v>195</v>
      </c>
      <c r="M26" s="2" t="s">
        <v>196</v>
      </c>
      <c r="N26" s="2" t="s">
        <v>197</v>
      </c>
      <c r="O26" s="2" t="s">
        <v>198</v>
      </c>
      <c r="P26" s="6" t="s">
        <v>38</v>
      </c>
      <c r="Q26" s="6" t="s">
        <v>38</v>
      </c>
      <c r="R26" s="6" t="s">
        <v>38</v>
      </c>
      <c r="S26" s="6" t="s">
        <v>38</v>
      </c>
      <c r="T26" s="6" t="s">
        <v>38</v>
      </c>
      <c r="U26" s="7">
        <v>14519569.648212999</v>
      </c>
      <c r="V26" s="7">
        <v>172916984.97222599</v>
      </c>
      <c r="W26" s="7">
        <v>27452268.473712798</v>
      </c>
      <c r="X26" s="7">
        <v>119708927.70395</v>
      </c>
      <c r="Y26" s="7">
        <v>-27703313.038729899</v>
      </c>
      <c r="Z26" s="6" t="s">
        <v>38</v>
      </c>
      <c r="AA26" s="6" t="s">
        <v>38</v>
      </c>
      <c r="AB26" s="6" t="s">
        <v>38</v>
      </c>
      <c r="AC26" s="6" t="s">
        <v>38</v>
      </c>
      <c r="AD26" s="6" t="s">
        <v>38</v>
      </c>
      <c r="AE26" s="7">
        <v>1408500.8051827501</v>
      </c>
      <c r="AF26" s="7">
        <v>11823550.920931101</v>
      </c>
      <c r="AG26" s="7">
        <v>3786719.2558916798</v>
      </c>
      <c r="AH26" s="7">
        <v>22867713.316617601</v>
      </c>
      <c r="AI26" s="6" t="s">
        <v>38</v>
      </c>
      <c r="AJ26" s="6" t="s">
        <v>38</v>
      </c>
      <c r="AK26" s="6" t="s">
        <v>38</v>
      </c>
      <c r="AL26" s="6" t="s">
        <v>38</v>
      </c>
      <c r="AM26" s="6" t="s">
        <v>38</v>
      </c>
      <c r="AN26" s="6" t="s">
        <v>38</v>
      </c>
      <c r="AO26" s="6" t="s">
        <v>38</v>
      </c>
      <c r="AP26" s="6" t="s">
        <v>38</v>
      </c>
      <c r="AQ26" s="6" t="s">
        <v>38</v>
      </c>
      <c r="AR26" s="6" t="s">
        <v>38</v>
      </c>
      <c r="AS26" s="6" t="s">
        <v>38</v>
      </c>
      <c r="AT26" s="6" t="s">
        <v>38</v>
      </c>
      <c r="AU26" s="6" t="s">
        <v>38</v>
      </c>
      <c r="AV26" s="6" t="s">
        <v>38</v>
      </c>
      <c r="AW26" s="6" t="s">
        <v>38</v>
      </c>
      <c r="AX26" s="6" t="s">
        <v>38</v>
      </c>
      <c r="AY26" s="7">
        <v>518447.34273562301</v>
      </c>
      <c r="AZ26" s="7">
        <v>4126768.9831673298</v>
      </c>
      <c r="BA26" s="7">
        <v>2462040.7218213701</v>
      </c>
      <c r="BB26" s="7">
        <v>35678926.0567872</v>
      </c>
      <c r="BC26" s="6" t="s">
        <v>38</v>
      </c>
      <c r="BD26" s="6" t="s">
        <v>38</v>
      </c>
      <c r="BE26" s="6" t="s">
        <v>38</v>
      </c>
      <c r="BF26" s="6" t="s">
        <v>38</v>
      </c>
      <c r="BG26" s="6" t="s">
        <v>38</v>
      </c>
      <c r="BH26" s="6" t="s">
        <v>38</v>
      </c>
      <c r="BI26" s="6" t="s">
        <v>38</v>
      </c>
      <c r="BJ26" s="6" t="s">
        <v>38</v>
      </c>
      <c r="BK26" s="6" t="s">
        <v>38</v>
      </c>
      <c r="BL26" s="6" t="s">
        <v>38</v>
      </c>
      <c r="BM26" s="6" t="s">
        <v>38</v>
      </c>
      <c r="BN26" s="6" t="s">
        <v>38</v>
      </c>
      <c r="BO26" s="6" t="s">
        <v>38</v>
      </c>
      <c r="BP26" s="6" t="s">
        <v>38</v>
      </c>
      <c r="BQ26" s="6" t="s">
        <v>38</v>
      </c>
      <c r="BR26" s="6" t="s">
        <v>38</v>
      </c>
      <c r="BS26" s="6" t="s">
        <v>38</v>
      </c>
      <c r="BT26" s="6" t="s">
        <v>38</v>
      </c>
      <c r="BU26" s="6" t="s">
        <v>38</v>
      </c>
      <c r="BV26" s="6" t="s">
        <v>38</v>
      </c>
      <c r="BW26" s="6" t="s">
        <v>38</v>
      </c>
    </row>
    <row r="27" spans="1:75" ht="15">
      <c r="A27" s="2" t="s">
        <v>199</v>
      </c>
      <c r="B27" s="5">
        <v>4724225</v>
      </c>
      <c r="C27" s="2" t="s">
        <v>200</v>
      </c>
      <c r="D27" s="2" t="s">
        <v>118</v>
      </c>
      <c r="E27" s="2" t="s">
        <v>201</v>
      </c>
      <c r="F27" s="2" t="s">
        <v>202</v>
      </c>
      <c r="G27" s="2" t="s">
        <v>75</v>
      </c>
      <c r="H27" s="2" t="s">
        <v>155</v>
      </c>
      <c r="I27" s="2" t="s">
        <v>155</v>
      </c>
      <c r="J27" s="2" t="s">
        <v>156</v>
      </c>
      <c r="K27" s="2" t="s">
        <v>203</v>
      </c>
      <c r="L27" s="2"/>
      <c r="M27" s="2"/>
      <c r="N27" s="2"/>
      <c r="O27" s="2"/>
      <c r="P27" s="7">
        <v>156918440.152383</v>
      </c>
      <c r="Q27" s="6" t="s">
        <v>38</v>
      </c>
      <c r="R27" s="6" t="s">
        <v>38</v>
      </c>
      <c r="S27" s="6" t="s">
        <v>38</v>
      </c>
      <c r="T27" s="6" t="s">
        <v>38</v>
      </c>
      <c r="U27" s="7">
        <v>89368236.018381193</v>
      </c>
      <c r="V27" s="6" t="s">
        <v>38</v>
      </c>
      <c r="W27" s="6" t="s">
        <v>38</v>
      </c>
      <c r="X27" s="6" t="s">
        <v>38</v>
      </c>
      <c r="Y27" s="6" t="s">
        <v>38</v>
      </c>
      <c r="Z27" s="7">
        <v>-849743.00679757504</v>
      </c>
      <c r="AA27" s="6" t="s">
        <v>38</v>
      </c>
      <c r="AB27" s="6" t="s">
        <v>38</v>
      </c>
      <c r="AC27" s="6" t="s">
        <v>38</v>
      </c>
      <c r="AD27" s="6" t="s">
        <v>38</v>
      </c>
      <c r="AE27" s="6" t="s">
        <v>38</v>
      </c>
      <c r="AF27" s="6" t="s">
        <v>38</v>
      </c>
      <c r="AG27" s="6" t="s">
        <v>38</v>
      </c>
      <c r="AH27" s="6" t="s">
        <v>38</v>
      </c>
      <c r="AI27" s="6" t="s">
        <v>38</v>
      </c>
      <c r="AJ27" s="6" t="s">
        <v>38</v>
      </c>
      <c r="AK27" s="6" t="s">
        <v>38</v>
      </c>
      <c r="AL27" s="6" t="s">
        <v>38</v>
      </c>
      <c r="AM27" s="6" t="s">
        <v>38</v>
      </c>
      <c r="AN27" s="6" t="s">
        <v>38</v>
      </c>
      <c r="AO27" s="7">
        <v>-25315510.747062601</v>
      </c>
      <c r="AP27" s="6" t="s">
        <v>38</v>
      </c>
      <c r="AQ27" s="6" t="s">
        <v>38</v>
      </c>
      <c r="AR27" s="6" t="s">
        <v>38</v>
      </c>
      <c r="AS27" s="6" t="s">
        <v>38</v>
      </c>
      <c r="AT27" s="6" t="s">
        <v>38</v>
      </c>
      <c r="AU27" s="6" t="s">
        <v>38</v>
      </c>
      <c r="AV27" s="6" t="s">
        <v>38</v>
      </c>
      <c r="AW27" s="6" t="s">
        <v>38</v>
      </c>
      <c r="AX27" s="6" t="s">
        <v>38</v>
      </c>
      <c r="AY27" s="7">
        <v>12814758.1541698</v>
      </c>
      <c r="AZ27" s="6" t="s">
        <v>38</v>
      </c>
      <c r="BA27" s="6" t="s">
        <v>38</v>
      </c>
      <c r="BB27" s="6" t="s">
        <v>38</v>
      </c>
      <c r="BC27" s="6" t="s">
        <v>38</v>
      </c>
      <c r="BD27" s="7">
        <v>46424824.750140898</v>
      </c>
      <c r="BE27" s="6" t="s">
        <v>38</v>
      </c>
      <c r="BF27" s="6" t="s">
        <v>38</v>
      </c>
      <c r="BG27" s="6" t="s">
        <v>38</v>
      </c>
      <c r="BH27" s="6" t="s">
        <v>38</v>
      </c>
      <c r="BI27" s="7">
        <v>39482781.786990002</v>
      </c>
      <c r="BJ27" s="6" t="s">
        <v>38</v>
      </c>
      <c r="BK27" s="6" t="s">
        <v>38</v>
      </c>
      <c r="BL27" s="6" t="s">
        <v>38</v>
      </c>
      <c r="BM27" s="6" t="s">
        <v>38</v>
      </c>
      <c r="BN27" s="7">
        <v>6915719.1381339999</v>
      </c>
      <c r="BO27" s="6" t="s">
        <v>38</v>
      </c>
      <c r="BP27" s="6" t="s">
        <v>38</v>
      </c>
      <c r="BQ27" s="6" t="s">
        <v>38</v>
      </c>
      <c r="BR27" s="6" t="s">
        <v>38</v>
      </c>
      <c r="BS27" s="6" t="s">
        <v>38</v>
      </c>
      <c r="BT27" s="6" t="s">
        <v>38</v>
      </c>
      <c r="BU27" s="6" t="s">
        <v>38</v>
      </c>
      <c r="BV27" s="6" t="s">
        <v>38</v>
      </c>
      <c r="BW27" s="6" t="s">
        <v>38</v>
      </c>
    </row>
    <row r="28" spans="1:75" ht="15">
      <c r="A28" s="2" t="s">
        <v>204</v>
      </c>
      <c r="B28" s="5">
        <v>4589256</v>
      </c>
      <c r="C28" s="2" t="s">
        <v>205</v>
      </c>
      <c r="D28" s="2" t="s">
        <v>72</v>
      </c>
      <c r="E28" s="2" t="s">
        <v>206</v>
      </c>
      <c r="F28" s="2" t="s">
        <v>207</v>
      </c>
      <c r="G28" s="2" t="s">
        <v>75</v>
      </c>
      <c r="H28" s="2" t="s">
        <v>155</v>
      </c>
      <c r="I28" s="2" t="s">
        <v>155</v>
      </c>
      <c r="J28" s="2" t="s">
        <v>156</v>
      </c>
      <c r="K28" s="2" t="s">
        <v>208</v>
      </c>
      <c r="L28" s="2"/>
      <c r="M28" s="2"/>
      <c r="N28" s="2"/>
      <c r="O28" s="2"/>
      <c r="P28" s="7">
        <v>324930260.069525</v>
      </c>
      <c r="Q28" s="6" t="s">
        <v>38</v>
      </c>
      <c r="R28" s="6" t="s">
        <v>38</v>
      </c>
      <c r="S28" s="6" t="s">
        <v>38</v>
      </c>
      <c r="T28" s="6" t="s">
        <v>38</v>
      </c>
      <c r="U28" s="7">
        <v>159800570.52726999</v>
      </c>
      <c r="V28" s="6" t="s">
        <v>38</v>
      </c>
      <c r="W28" s="6" t="s">
        <v>38</v>
      </c>
      <c r="X28" s="6" t="s">
        <v>38</v>
      </c>
      <c r="Y28" s="6" t="s">
        <v>38</v>
      </c>
      <c r="Z28" s="7">
        <v>-518973.16813008999</v>
      </c>
      <c r="AA28" s="6" t="s">
        <v>38</v>
      </c>
      <c r="AB28" s="6" t="s">
        <v>38</v>
      </c>
      <c r="AC28" s="6" t="s">
        <v>38</v>
      </c>
      <c r="AD28" s="6" t="s">
        <v>38</v>
      </c>
      <c r="AE28" s="7">
        <v>81224507.157357201</v>
      </c>
      <c r="AF28" s="6" t="s">
        <v>38</v>
      </c>
      <c r="AG28" s="6" t="s">
        <v>38</v>
      </c>
      <c r="AH28" s="6" t="s">
        <v>38</v>
      </c>
      <c r="AI28" s="6" t="s">
        <v>38</v>
      </c>
      <c r="AJ28" s="7">
        <v>95706717.213361293</v>
      </c>
      <c r="AK28" s="6" t="s">
        <v>38</v>
      </c>
      <c r="AL28" s="6" t="s">
        <v>38</v>
      </c>
      <c r="AM28" s="6" t="s">
        <v>38</v>
      </c>
      <c r="AN28" s="6" t="s">
        <v>38</v>
      </c>
      <c r="AO28" s="7">
        <v>-53381209.043118402</v>
      </c>
      <c r="AP28" s="6" t="s">
        <v>38</v>
      </c>
      <c r="AQ28" s="6" t="s">
        <v>38</v>
      </c>
      <c r="AR28" s="6" t="s">
        <v>38</v>
      </c>
      <c r="AS28" s="6" t="s">
        <v>38</v>
      </c>
      <c r="AT28" s="6" t="s">
        <v>38</v>
      </c>
      <c r="AU28" s="6" t="s">
        <v>38</v>
      </c>
      <c r="AV28" s="6" t="s">
        <v>38</v>
      </c>
      <c r="AW28" s="6" t="s">
        <v>38</v>
      </c>
      <c r="AX28" s="6" t="s">
        <v>38</v>
      </c>
      <c r="AY28" s="7">
        <v>28597097.998666801</v>
      </c>
      <c r="AZ28" s="6" t="s">
        <v>38</v>
      </c>
      <c r="BA28" s="6" t="s">
        <v>38</v>
      </c>
      <c r="BB28" s="6" t="s">
        <v>38</v>
      </c>
      <c r="BC28" s="6" t="s">
        <v>38</v>
      </c>
      <c r="BD28" s="7">
        <v>85653172.725755602</v>
      </c>
      <c r="BE28" s="6" t="s">
        <v>38</v>
      </c>
      <c r="BF28" s="6" t="s">
        <v>38</v>
      </c>
      <c r="BG28" s="6" t="s">
        <v>38</v>
      </c>
      <c r="BH28" s="6" t="s">
        <v>38</v>
      </c>
      <c r="BI28" s="7">
        <v>71219275.537598804</v>
      </c>
      <c r="BJ28" s="6" t="s">
        <v>38</v>
      </c>
      <c r="BK28" s="6" t="s">
        <v>38</v>
      </c>
      <c r="BL28" s="6" t="s">
        <v>38</v>
      </c>
      <c r="BM28" s="6" t="s">
        <v>38</v>
      </c>
      <c r="BN28" s="7">
        <v>14537902.4249407</v>
      </c>
      <c r="BO28" s="6" t="s">
        <v>38</v>
      </c>
      <c r="BP28" s="6" t="s">
        <v>38</v>
      </c>
      <c r="BQ28" s="6" t="s">
        <v>38</v>
      </c>
      <c r="BR28" s="6" t="s">
        <v>38</v>
      </c>
      <c r="BS28" s="6" t="s">
        <v>38</v>
      </c>
      <c r="BT28" s="6" t="s">
        <v>38</v>
      </c>
      <c r="BU28" s="6" t="s">
        <v>38</v>
      </c>
      <c r="BV28" s="6" t="s">
        <v>38</v>
      </c>
      <c r="BW28" s="6" t="s">
        <v>38</v>
      </c>
    </row>
    <row r="29" spans="1:75" ht="15">
      <c r="A29" s="2" t="s">
        <v>209</v>
      </c>
      <c r="B29" s="5">
        <v>4329847</v>
      </c>
      <c r="C29" s="2" t="s">
        <v>210</v>
      </c>
      <c r="D29" s="2" t="s">
        <v>41</v>
      </c>
      <c r="E29" s="2" t="s">
        <v>211</v>
      </c>
      <c r="F29" s="2" t="s">
        <v>212</v>
      </c>
      <c r="G29" s="2" t="s">
        <v>213</v>
      </c>
      <c r="H29" s="2" t="s">
        <v>214</v>
      </c>
      <c r="I29" s="2" t="s">
        <v>215</v>
      </c>
      <c r="J29" s="2" t="s">
        <v>215</v>
      </c>
      <c r="K29" s="2" t="s">
        <v>216</v>
      </c>
      <c r="L29" s="2" t="s">
        <v>68</v>
      </c>
      <c r="M29" s="2" t="s">
        <v>217</v>
      </c>
      <c r="N29" s="2" t="s">
        <v>218</v>
      </c>
      <c r="O29" s="2"/>
      <c r="P29" s="6" t="s">
        <v>38</v>
      </c>
      <c r="Q29" s="6" t="s">
        <v>38</v>
      </c>
      <c r="R29" s="6" t="s">
        <v>38</v>
      </c>
      <c r="S29" s="6" t="s">
        <v>38</v>
      </c>
      <c r="T29" s="6" t="s">
        <v>38</v>
      </c>
      <c r="U29" s="7">
        <v>41713283.059617303</v>
      </c>
      <c r="V29" s="7">
        <v>1468469.0098395101</v>
      </c>
      <c r="W29" s="7">
        <v>67138504.9427443</v>
      </c>
      <c r="X29" s="7">
        <v>26357355.176855698</v>
      </c>
      <c r="Y29" s="6" t="s">
        <v>38</v>
      </c>
      <c r="Z29" s="6" t="s">
        <v>38</v>
      </c>
      <c r="AA29" s="6" t="s">
        <v>38</v>
      </c>
      <c r="AB29" s="6" t="s">
        <v>38</v>
      </c>
      <c r="AC29" s="6" t="s">
        <v>38</v>
      </c>
      <c r="AD29" s="6" t="s">
        <v>38</v>
      </c>
      <c r="AE29" s="6" t="s">
        <v>38</v>
      </c>
      <c r="AF29" s="6" t="s">
        <v>38</v>
      </c>
      <c r="AG29" s="6" t="s">
        <v>38</v>
      </c>
      <c r="AH29" s="6" t="s">
        <v>38</v>
      </c>
      <c r="AI29" s="6" t="s">
        <v>38</v>
      </c>
      <c r="AJ29" s="7">
        <v>21201805.379651401</v>
      </c>
      <c r="AK29" s="7">
        <v>53088.145459098399</v>
      </c>
      <c r="AL29" s="7">
        <v>40415350.626629204</v>
      </c>
      <c r="AM29" s="7">
        <v>15160847.1290711</v>
      </c>
      <c r="AN29" s="6" t="s">
        <v>38</v>
      </c>
      <c r="AO29" s="6" t="s">
        <v>38</v>
      </c>
      <c r="AP29" s="6" t="s">
        <v>38</v>
      </c>
      <c r="AQ29" s="6" t="s">
        <v>38</v>
      </c>
      <c r="AR29" s="6" t="s">
        <v>38</v>
      </c>
      <c r="AS29" s="6" t="s">
        <v>38</v>
      </c>
      <c r="AT29" s="6" t="s">
        <v>38</v>
      </c>
      <c r="AU29" s="6" t="s">
        <v>38</v>
      </c>
      <c r="AV29" s="6" t="s">
        <v>38</v>
      </c>
      <c r="AW29" s="6" t="s">
        <v>38</v>
      </c>
      <c r="AX29" s="6" t="s">
        <v>38</v>
      </c>
      <c r="AY29" s="7">
        <v>1327021.8277601299</v>
      </c>
      <c r="AZ29" s="7">
        <v>137265.58158088801</v>
      </c>
      <c r="BA29" s="7">
        <v>1031037.23595393</v>
      </c>
      <c r="BB29" s="7">
        <v>1442652.1719792699</v>
      </c>
      <c r="BC29" s="6" t="s">
        <v>38</v>
      </c>
      <c r="BD29" s="6" t="s">
        <v>38</v>
      </c>
      <c r="BE29" s="6" t="s">
        <v>38</v>
      </c>
      <c r="BF29" s="6" t="s">
        <v>38</v>
      </c>
      <c r="BG29" s="6" t="s">
        <v>38</v>
      </c>
      <c r="BH29" s="6" t="s">
        <v>38</v>
      </c>
      <c r="BI29" s="6" t="s">
        <v>38</v>
      </c>
      <c r="BJ29" s="6" t="s">
        <v>38</v>
      </c>
      <c r="BK29" s="6" t="s">
        <v>38</v>
      </c>
      <c r="BL29" s="6" t="s">
        <v>38</v>
      </c>
      <c r="BM29" s="6" t="s">
        <v>38</v>
      </c>
      <c r="BN29" s="6" t="s">
        <v>38</v>
      </c>
      <c r="BO29" s="6" t="s">
        <v>38</v>
      </c>
      <c r="BP29" s="6" t="s">
        <v>38</v>
      </c>
      <c r="BQ29" s="6" t="s">
        <v>38</v>
      </c>
      <c r="BR29" s="6" t="s">
        <v>38</v>
      </c>
      <c r="BS29" s="6" t="s">
        <v>38</v>
      </c>
      <c r="BT29" s="6" t="s">
        <v>38</v>
      </c>
      <c r="BU29" s="6" t="s">
        <v>38</v>
      </c>
      <c r="BV29" s="6" t="s">
        <v>38</v>
      </c>
      <c r="BW29" s="6" t="s">
        <v>38</v>
      </c>
    </row>
    <row r="30" spans="1:75" ht="15">
      <c r="A30" s="2" t="s">
        <v>219</v>
      </c>
      <c r="B30" s="5">
        <v>4075039</v>
      </c>
      <c r="C30" s="2" t="s">
        <v>220</v>
      </c>
      <c r="D30" s="2" t="s">
        <v>54</v>
      </c>
      <c r="E30" s="2" t="s">
        <v>221</v>
      </c>
      <c r="F30" s="2" t="s">
        <v>43</v>
      </c>
      <c r="G30" s="2" t="s">
        <v>44</v>
      </c>
      <c r="H30" s="2" t="s">
        <v>45</v>
      </c>
      <c r="I30" s="2" t="s">
        <v>45</v>
      </c>
      <c r="J30" s="2" t="s">
        <v>46</v>
      </c>
      <c r="K30" s="2" t="s">
        <v>222</v>
      </c>
      <c r="L30" s="2" t="s">
        <v>223</v>
      </c>
      <c r="M30" s="2" t="s">
        <v>224</v>
      </c>
      <c r="N30" s="2" t="s">
        <v>225</v>
      </c>
      <c r="O30" s="2" t="s">
        <v>226</v>
      </c>
      <c r="P30" s="7">
        <v>448619621.27182198</v>
      </c>
      <c r="Q30" s="7">
        <v>98358780.675078005</v>
      </c>
      <c r="R30" s="7">
        <v>100494101.026704</v>
      </c>
      <c r="S30" s="7">
        <v>79780383.693317994</v>
      </c>
      <c r="T30" s="7">
        <v>47812.051055999997</v>
      </c>
      <c r="U30" s="7">
        <v>6951186.9015808897</v>
      </c>
      <c r="V30" s="7">
        <v>4967553.4516597902</v>
      </c>
      <c r="W30" s="7">
        <v>3226157.04985032</v>
      </c>
      <c r="X30" s="7">
        <v>2418135.5676877601</v>
      </c>
      <c r="Y30" s="7">
        <v>1104465.42215931</v>
      </c>
      <c r="Z30" s="6" t="s">
        <v>38</v>
      </c>
      <c r="AA30" s="6" t="s">
        <v>38</v>
      </c>
      <c r="AB30" s="6" t="s">
        <v>38</v>
      </c>
      <c r="AC30" s="6" t="s">
        <v>38</v>
      </c>
      <c r="AD30" s="6" t="s">
        <v>38</v>
      </c>
      <c r="AE30" s="6" t="s">
        <v>38</v>
      </c>
      <c r="AF30" s="6" t="s">
        <v>38</v>
      </c>
      <c r="AG30" s="6" t="s">
        <v>38</v>
      </c>
      <c r="AH30" s="6" t="s">
        <v>38</v>
      </c>
      <c r="AI30" s="6" t="s">
        <v>38</v>
      </c>
      <c r="AJ30" s="6" t="s">
        <v>38</v>
      </c>
      <c r="AK30" s="6" t="s">
        <v>38</v>
      </c>
      <c r="AL30" s="6" t="s">
        <v>38</v>
      </c>
      <c r="AM30" s="6" t="s">
        <v>38</v>
      </c>
      <c r="AN30" s="6" t="s">
        <v>38</v>
      </c>
      <c r="AO30" s="6" t="s">
        <v>38</v>
      </c>
      <c r="AP30" s="6" t="s">
        <v>38</v>
      </c>
      <c r="AQ30" s="6" t="s">
        <v>38</v>
      </c>
      <c r="AR30" s="6" t="s">
        <v>38</v>
      </c>
      <c r="AS30" s="6" t="s">
        <v>38</v>
      </c>
      <c r="AT30" s="6" t="s">
        <v>38</v>
      </c>
      <c r="AU30" s="6" t="s">
        <v>38</v>
      </c>
      <c r="AV30" s="6" t="s">
        <v>38</v>
      </c>
      <c r="AW30" s="6" t="s">
        <v>38</v>
      </c>
      <c r="AX30" s="6" t="s">
        <v>38</v>
      </c>
      <c r="AY30" s="6" t="s">
        <v>38</v>
      </c>
      <c r="AZ30" s="6" t="s">
        <v>38</v>
      </c>
      <c r="BA30" s="6" t="s">
        <v>38</v>
      </c>
      <c r="BB30" s="6" t="s">
        <v>38</v>
      </c>
      <c r="BC30" s="6" t="s">
        <v>38</v>
      </c>
      <c r="BD30" s="7">
        <v>2773868.2956838598</v>
      </c>
      <c r="BE30" s="7">
        <v>2657831.66774227</v>
      </c>
      <c r="BF30" s="7">
        <v>1831176.5664941999</v>
      </c>
      <c r="BG30" s="7">
        <v>1281484.80347166</v>
      </c>
      <c r="BH30" s="7">
        <v>30491.376685379801</v>
      </c>
      <c r="BI30" s="7">
        <v>1932814.4887788</v>
      </c>
      <c r="BJ30" s="7">
        <v>1851504.1509511201</v>
      </c>
      <c r="BK30" s="7">
        <v>1333997.7299853701</v>
      </c>
      <c r="BL30" s="7">
        <v>923211.12741844298</v>
      </c>
      <c r="BM30" s="7">
        <v>-136364.21239850399</v>
      </c>
      <c r="BN30" s="7">
        <v>841053.80690505903</v>
      </c>
      <c r="BO30" s="7">
        <v>806327.51679115405</v>
      </c>
      <c r="BP30" s="7">
        <v>497178.83650883101</v>
      </c>
      <c r="BQ30" s="7">
        <v>358273.67605321202</v>
      </c>
      <c r="BR30" s="7">
        <v>152456.883426899</v>
      </c>
      <c r="BS30" s="6" t="s">
        <v>38</v>
      </c>
      <c r="BT30" s="6" t="s">
        <v>38</v>
      </c>
      <c r="BU30" s="6" t="s">
        <v>38</v>
      </c>
      <c r="BV30" s="6" t="s">
        <v>38</v>
      </c>
      <c r="BW30" s="6" t="s">
        <v>38</v>
      </c>
    </row>
    <row r="31" spans="1:75" ht="15">
      <c r="A31" s="2" t="s">
        <v>227</v>
      </c>
      <c r="B31" s="5">
        <v>5974434</v>
      </c>
      <c r="C31" s="2" t="s">
        <v>228</v>
      </c>
      <c r="D31" s="2" t="s">
        <v>54</v>
      </c>
      <c r="E31" s="2" t="s">
        <v>229</v>
      </c>
      <c r="F31" s="2" t="s">
        <v>230</v>
      </c>
      <c r="G31" s="2" t="s">
        <v>75</v>
      </c>
      <c r="H31" s="2" t="s">
        <v>231</v>
      </c>
      <c r="I31" s="2" t="s">
        <v>232</v>
      </c>
      <c r="J31" s="2" t="s">
        <v>233</v>
      </c>
      <c r="K31" s="2" t="s">
        <v>234</v>
      </c>
      <c r="L31" s="2" t="s">
        <v>235</v>
      </c>
      <c r="M31" s="2" t="s">
        <v>236</v>
      </c>
      <c r="N31" s="2"/>
      <c r="O31" s="2"/>
      <c r="P31" s="6" t="s">
        <v>38</v>
      </c>
      <c r="Q31" s="6" t="s">
        <v>38</v>
      </c>
      <c r="R31" s="6" t="s">
        <v>38</v>
      </c>
      <c r="S31" s="6" t="s">
        <v>38</v>
      </c>
      <c r="T31" s="6" t="s">
        <v>38</v>
      </c>
      <c r="U31" s="7">
        <v>1097531.36606898</v>
      </c>
      <c r="V31" s="7">
        <v>694880.64496552804</v>
      </c>
      <c r="W31" s="6" t="s">
        <v>38</v>
      </c>
      <c r="X31" s="6" t="s">
        <v>38</v>
      </c>
      <c r="Y31" s="6" t="s">
        <v>38</v>
      </c>
      <c r="Z31" s="6" t="s">
        <v>38</v>
      </c>
      <c r="AA31" s="6" t="s">
        <v>38</v>
      </c>
      <c r="AB31" s="6" t="s">
        <v>38</v>
      </c>
      <c r="AC31" s="6" t="s">
        <v>38</v>
      </c>
      <c r="AD31" s="6" t="s">
        <v>38</v>
      </c>
      <c r="AE31" s="6" t="s">
        <v>38</v>
      </c>
      <c r="AF31" s="6" t="s">
        <v>38</v>
      </c>
      <c r="AG31" s="6" t="s">
        <v>38</v>
      </c>
      <c r="AH31" s="6" t="s">
        <v>38</v>
      </c>
      <c r="AI31" s="6" t="s">
        <v>38</v>
      </c>
      <c r="AJ31" s="6" t="s">
        <v>38</v>
      </c>
      <c r="AK31" s="6" t="s">
        <v>38</v>
      </c>
      <c r="AL31" s="6" t="s">
        <v>38</v>
      </c>
      <c r="AM31" s="6" t="s">
        <v>38</v>
      </c>
      <c r="AN31" s="6" t="s">
        <v>38</v>
      </c>
      <c r="AO31" s="6" t="s">
        <v>38</v>
      </c>
      <c r="AP31" s="6" t="s">
        <v>38</v>
      </c>
      <c r="AQ31" s="6" t="s">
        <v>38</v>
      </c>
      <c r="AR31" s="6" t="s">
        <v>38</v>
      </c>
      <c r="AS31" s="6" t="s">
        <v>38</v>
      </c>
      <c r="AT31" s="7">
        <v>579323.99668966397</v>
      </c>
      <c r="AU31" s="7">
        <v>253325.852275866</v>
      </c>
      <c r="AV31" s="7">
        <v>-5135.8510344828401</v>
      </c>
      <c r="AW31" s="6" t="s">
        <v>38</v>
      </c>
      <c r="AX31" s="6" t="s">
        <v>38</v>
      </c>
      <c r="AY31" s="6" t="s">
        <v>38</v>
      </c>
      <c r="AZ31" s="6" t="s">
        <v>38</v>
      </c>
      <c r="BA31" s="6" t="s">
        <v>38</v>
      </c>
      <c r="BB31" s="6" t="s">
        <v>38</v>
      </c>
      <c r="BC31" s="6" t="s">
        <v>38</v>
      </c>
      <c r="BD31" s="6" t="s">
        <v>38</v>
      </c>
      <c r="BE31" s="6" t="s">
        <v>38</v>
      </c>
      <c r="BF31" s="6" t="s">
        <v>38</v>
      </c>
      <c r="BG31" s="6" t="s">
        <v>38</v>
      </c>
      <c r="BH31" s="6" t="s">
        <v>38</v>
      </c>
      <c r="BI31" s="6" t="s">
        <v>38</v>
      </c>
      <c r="BJ31" s="6" t="s">
        <v>38</v>
      </c>
      <c r="BK31" s="6" t="s">
        <v>38</v>
      </c>
      <c r="BL31" s="6" t="s">
        <v>38</v>
      </c>
      <c r="BM31" s="6" t="s">
        <v>38</v>
      </c>
      <c r="BN31" s="6" t="s">
        <v>38</v>
      </c>
      <c r="BO31" s="6" t="s">
        <v>38</v>
      </c>
      <c r="BP31" s="6" t="s">
        <v>38</v>
      </c>
      <c r="BQ31" s="6" t="s">
        <v>38</v>
      </c>
      <c r="BR31" s="6" t="s">
        <v>38</v>
      </c>
      <c r="BS31" s="6" t="s">
        <v>38</v>
      </c>
      <c r="BT31" s="6" t="s">
        <v>38</v>
      </c>
      <c r="BU31" s="6" t="s">
        <v>38</v>
      </c>
      <c r="BV31" s="6" t="s">
        <v>38</v>
      </c>
      <c r="BW31" s="6" t="s">
        <v>38</v>
      </c>
    </row>
    <row r="32" spans="1:75" ht="15">
      <c r="A32" s="2" t="s">
        <v>237</v>
      </c>
      <c r="B32" s="5">
        <v>5311100</v>
      </c>
      <c r="C32" s="2" t="s">
        <v>238</v>
      </c>
      <c r="D32" s="2" t="s">
        <v>41</v>
      </c>
      <c r="E32" s="2" t="s">
        <v>239</v>
      </c>
      <c r="F32" s="2" t="s">
        <v>240</v>
      </c>
      <c r="G32" s="2" t="s">
        <v>75</v>
      </c>
      <c r="H32" s="2" t="s">
        <v>76</v>
      </c>
      <c r="I32" s="2" t="s">
        <v>193</v>
      </c>
      <c r="J32" s="2" t="s">
        <v>193</v>
      </c>
      <c r="K32" s="2" t="s">
        <v>241</v>
      </c>
      <c r="L32" s="2" t="s">
        <v>242</v>
      </c>
      <c r="M32" s="2" t="s">
        <v>243</v>
      </c>
      <c r="N32" s="2" t="s">
        <v>244</v>
      </c>
      <c r="O32" s="2" t="s">
        <v>245</v>
      </c>
      <c r="P32" s="6" t="s">
        <v>38</v>
      </c>
      <c r="Q32" s="6" t="s">
        <v>38</v>
      </c>
      <c r="R32" s="6" t="s">
        <v>38</v>
      </c>
      <c r="S32" s="6" t="s">
        <v>38</v>
      </c>
      <c r="T32" s="6" t="s">
        <v>38</v>
      </c>
      <c r="U32" s="7">
        <v>33896376.714855701</v>
      </c>
      <c r="V32" s="7">
        <v>22398868.6999887</v>
      </c>
      <c r="W32" s="7">
        <v>6806981.2824896397</v>
      </c>
      <c r="X32" s="7">
        <v>752117.21035591001</v>
      </c>
      <c r="Y32" s="7">
        <v>19284362.105889499</v>
      </c>
      <c r="Z32" s="6" t="s">
        <v>38</v>
      </c>
      <c r="AA32" s="6" t="s">
        <v>38</v>
      </c>
      <c r="AB32" s="6" t="s">
        <v>38</v>
      </c>
      <c r="AC32" s="6" t="s">
        <v>38</v>
      </c>
      <c r="AD32" s="6" t="s">
        <v>38</v>
      </c>
      <c r="AE32" s="6" t="s">
        <v>38</v>
      </c>
      <c r="AF32" s="6" t="s">
        <v>38</v>
      </c>
      <c r="AG32" s="6" t="s">
        <v>38</v>
      </c>
      <c r="AH32" s="6" t="s">
        <v>38</v>
      </c>
      <c r="AI32" s="6" t="s">
        <v>38</v>
      </c>
      <c r="AJ32" s="7">
        <v>3684563.8274821201</v>
      </c>
      <c r="AK32" s="7">
        <v>5167618.6234778101</v>
      </c>
      <c r="AL32" s="7">
        <v>5207052.0252221599</v>
      </c>
      <c r="AM32" s="7">
        <v>-234065.81513788199</v>
      </c>
      <c r="AN32" s="7">
        <v>4684021.7982801702</v>
      </c>
      <c r="AO32" s="6" t="s">
        <v>38</v>
      </c>
      <c r="AP32" s="6" t="s">
        <v>38</v>
      </c>
      <c r="AQ32" s="6" t="s">
        <v>38</v>
      </c>
      <c r="AR32" s="6" t="s">
        <v>38</v>
      </c>
      <c r="AS32" s="6" t="s">
        <v>38</v>
      </c>
      <c r="AT32" s="6" t="s">
        <v>38</v>
      </c>
      <c r="AU32" s="6" t="s">
        <v>38</v>
      </c>
      <c r="AV32" s="6" t="s">
        <v>38</v>
      </c>
      <c r="AW32" s="6" t="s">
        <v>38</v>
      </c>
      <c r="AX32" s="6" t="s">
        <v>38</v>
      </c>
      <c r="AY32" s="6" t="s">
        <v>38</v>
      </c>
      <c r="AZ32" s="6" t="s">
        <v>38</v>
      </c>
      <c r="BA32" s="6" t="s">
        <v>38</v>
      </c>
      <c r="BB32" s="6" t="s">
        <v>38</v>
      </c>
      <c r="BC32" s="6" t="s">
        <v>38</v>
      </c>
      <c r="BD32" s="6" t="s">
        <v>38</v>
      </c>
      <c r="BE32" s="6" t="s">
        <v>38</v>
      </c>
      <c r="BF32" s="6" t="s">
        <v>38</v>
      </c>
      <c r="BG32" s="6" t="s">
        <v>38</v>
      </c>
      <c r="BH32" s="6" t="s">
        <v>38</v>
      </c>
      <c r="BI32" s="6" t="s">
        <v>38</v>
      </c>
      <c r="BJ32" s="6" t="s">
        <v>38</v>
      </c>
      <c r="BK32" s="6" t="s">
        <v>38</v>
      </c>
      <c r="BL32" s="6" t="s">
        <v>38</v>
      </c>
      <c r="BM32" s="6" t="s">
        <v>38</v>
      </c>
      <c r="BN32" s="6" t="s">
        <v>38</v>
      </c>
      <c r="BO32" s="6" t="s">
        <v>38</v>
      </c>
      <c r="BP32" s="6" t="s">
        <v>38</v>
      </c>
      <c r="BQ32" s="6" t="s">
        <v>38</v>
      </c>
      <c r="BR32" s="6" t="s">
        <v>38</v>
      </c>
      <c r="BS32" s="6" t="s">
        <v>38</v>
      </c>
      <c r="BT32" s="6" t="s">
        <v>38</v>
      </c>
      <c r="BU32" s="6" t="s">
        <v>38</v>
      </c>
      <c r="BV32" s="6" t="s">
        <v>38</v>
      </c>
      <c r="BW32" s="6" t="s">
        <v>38</v>
      </c>
    </row>
  </sheetData>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D5"/>
  <sheetViews>
    <sheetView workbookViewId="0" topLeftCell="A1"/>
  </sheetViews>
  <sheetFormatPr defaultRowHeight="15"/>
  <cols>
    <col min="1" max="1" width="26.8571428571429" customWidth="1"/>
  </cols>
  <sheetData>
    <row r="1" spans="1:4" ht="40" customHeight="1">
      <c r="A1" s="8"/>
      <c r="B1" s="8"/>
      <c r="C1" s="8"/>
      <c r="D1" s="8"/>
    </row>
    <row r="2" spans="1:1" ht="15"/>
    <row r="3" spans="1:1" ht="15">
      <c r="A3" s="9" t="s">
        <v>246</v>
      </c>
    </row>
    <row r="4" spans="1:1" ht="15">
      <c r="A4" s="9" t="s">
        <v>247</v>
      </c>
    </row>
    <row r="5" spans="1:1" ht="15">
      <c r="A5" s="2" t="s">
        <v>248</v>
      </c>
    </row>
  </sheetData>
  <mergeCells count="1">
    <mergeCell ref="A1:D1"/>
  </mergeCells>
  <pageMargins left="0.75" right="0.75" top="1" bottom="1" header="0.5" footer="0.5"/>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2</vt:i4>
      </vt:variant>
    </vt:vector>
  </HeadingPairs>
  <TitlesOfParts>
    <vt:vector size="2" baseType="lpstr">
      <vt:lpstr>Sheet1</vt:lpstr>
      <vt:lpstr>Screening Criteria</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